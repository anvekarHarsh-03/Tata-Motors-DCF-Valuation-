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DCF Valuations\Tata Motors ( Mays 2025 )\"/>
    </mc:Choice>
  </mc:AlternateContent>
  <bookViews>
    <workbookView xWindow="0" yWindow="0" windowWidth="19200" windowHeight="7310" firstSheet="2" activeTab="7"/>
  </bookViews>
  <sheets>
    <sheet name="Financials -&gt;" sheetId="2" r:id="rId1"/>
    <sheet name="HistoricalFS" sheetId="3" r:id="rId2"/>
    <sheet name="Ratio analysis" sheetId="7" r:id="rId3"/>
    <sheet name="Forecasting" sheetId="8" r:id="rId4"/>
    <sheet name="Intrinsic growth" sheetId="10" r:id="rId5"/>
    <sheet name="FCFF" sheetId="11" r:id="rId6"/>
    <sheet name="Wacc" sheetId="13" r:id="rId7"/>
    <sheet name="DCF" sheetId="12" r:id="rId8"/>
    <sheet name="Data -&gt;" sheetId="4" r:id="rId9"/>
    <sheet name="Data Sheet" sheetId="1" r:id="rId10"/>
    <sheet name="Raw Cash Flow Data" sheetId="6" r:id="rId11"/>
    <sheet name="Raw BS Data" sheetId="9" r:id="rId12"/>
  </sheets>
  <externalReferences>
    <externalReference r:id="rId13"/>
  </externalReferences>
  <definedNames>
    <definedName name="UPDATE">'Data Sheet'!$E$1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2" l="1"/>
  <c r="J31" i="13" l="1"/>
  <c r="J23" i="13"/>
  <c r="E23" i="13"/>
  <c r="J22" i="13"/>
  <c r="E22" i="13"/>
  <c r="E24" i="13" s="1"/>
  <c r="D37" i="13" s="1"/>
  <c r="F17" i="13"/>
  <c r="F16" i="13"/>
  <c r="I14" i="13"/>
  <c r="E14" i="13"/>
  <c r="D14" i="13"/>
  <c r="H14" i="13" s="1"/>
  <c r="I13" i="13"/>
  <c r="E13" i="13"/>
  <c r="D13" i="13"/>
  <c r="H13" i="13" s="1"/>
  <c r="I12" i="13"/>
  <c r="E12" i="13"/>
  <c r="D12" i="13"/>
  <c r="H12" i="13" s="1"/>
  <c r="I11" i="13"/>
  <c r="E11" i="13"/>
  <c r="D11" i="13"/>
  <c r="H11" i="13" s="1"/>
  <c r="I10" i="13"/>
  <c r="E10" i="13"/>
  <c r="C30" i="13" s="1"/>
  <c r="D10" i="13"/>
  <c r="C29" i="13" s="1"/>
  <c r="C17" i="12"/>
  <c r="C16" i="12"/>
  <c r="I8" i="12"/>
  <c r="I9" i="12" s="1"/>
  <c r="K8" i="12"/>
  <c r="K9" i="12" s="1"/>
  <c r="D7" i="12"/>
  <c r="E7" i="12"/>
  <c r="F7" i="12"/>
  <c r="G7" i="12"/>
  <c r="H7" i="12"/>
  <c r="I7" i="12"/>
  <c r="J7" i="12"/>
  <c r="K7" i="12"/>
  <c r="L7" i="12"/>
  <c r="C7" i="12"/>
  <c r="E6" i="12"/>
  <c r="F6" i="12" s="1"/>
  <c r="G6" i="12" s="1"/>
  <c r="H6" i="12" s="1"/>
  <c r="I6" i="12" s="1"/>
  <c r="J6" i="12" s="1"/>
  <c r="K6" i="12" s="1"/>
  <c r="L6" i="12" s="1"/>
  <c r="D6" i="12"/>
  <c r="M14" i="11"/>
  <c r="N14" i="11"/>
  <c r="O14" i="11"/>
  <c r="P14" i="11"/>
  <c r="Q14" i="11"/>
  <c r="N12" i="11"/>
  <c r="O12" i="11" s="1"/>
  <c r="M12" i="11"/>
  <c r="N11" i="11"/>
  <c r="O11" i="11" s="1"/>
  <c r="M11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C9" i="11"/>
  <c r="M8" i="11"/>
  <c r="N8" i="11" s="1"/>
  <c r="O8" i="11" s="1"/>
  <c r="D7" i="11"/>
  <c r="D14" i="11" s="1"/>
  <c r="E7" i="11"/>
  <c r="E14" i="11" s="1"/>
  <c r="F7" i="11"/>
  <c r="F14" i="11" s="1"/>
  <c r="G7" i="11"/>
  <c r="H7" i="11"/>
  <c r="I7" i="11"/>
  <c r="I14" i="11" s="1"/>
  <c r="J7" i="11"/>
  <c r="K7" i="11"/>
  <c r="K14" i="11" s="1"/>
  <c r="L7" i="11"/>
  <c r="L14" i="11" s="1"/>
  <c r="M7" i="11"/>
  <c r="N7" i="11"/>
  <c r="O7" i="11"/>
  <c r="P7" i="11"/>
  <c r="Q7" i="11"/>
  <c r="C7" i="11"/>
  <c r="M5" i="11"/>
  <c r="N5" i="11" s="1"/>
  <c r="O5" i="11" s="1"/>
  <c r="M4" i="11" a="1"/>
  <c r="M4" i="11" s="1"/>
  <c r="D4" i="11"/>
  <c r="E4" i="11"/>
  <c r="F4" i="11"/>
  <c r="G4" i="11"/>
  <c r="H4" i="11"/>
  <c r="I4" i="11"/>
  <c r="J4" i="11"/>
  <c r="K4" i="11"/>
  <c r="L4" i="11"/>
  <c r="C4" i="11"/>
  <c r="N3" i="11"/>
  <c r="O3" i="11"/>
  <c r="P3" i="11"/>
  <c r="Q3" i="11" s="1"/>
  <c r="M3" i="11"/>
  <c r="C3" i="12"/>
  <c r="C13" i="12" s="1"/>
  <c r="C8" i="11"/>
  <c r="D11" i="11"/>
  <c r="E11" i="11"/>
  <c r="F11" i="11"/>
  <c r="G11" i="11"/>
  <c r="H11" i="11"/>
  <c r="I11" i="11"/>
  <c r="J11" i="11"/>
  <c r="K11" i="11"/>
  <c r="L11" i="11"/>
  <c r="D12" i="11"/>
  <c r="E12" i="11"/>
  <c r="F12" i="11"/>
  <c r="G12" i="11"/>
  <c r="H12" i="11"/>
  <c r="I12" i="11"/>
  <c r="J12" i="11"/>
  <c r="K12" i="11"/>
  <c r="L12" i="11"/>
  <c r="C12" i="11"/>
  <c r="C11" i="11"/>
  <c r="D8" i="11"/>
  <c r="E8" i="11"/>
  <c r="F8" i="11"/>
  <c r="G8" i="11"/>
  <c r="H8" i="11"/>
  <c r="I8" i="11"/>
  <c r="J8" i="11"/>
  <c r="K8" i="11"/>
  <c r="L8" i="11"/>
  <c r="G14" i="11"/>
  <c r="H14" i="11"/>
  <c r="J14" i="11"/>
  <c r="C5" i="11"/>
  <c r="D5" i="11"/>
  <c r="E5" i="11"/>
  <c r="F5" i="11"/>
  <c r="G5" i="11"/>
  <c r="H5" i="11"/>
  <c r="I5" i="11"/>
  <c r="J5" i="11"/>
  <c r="K5" i="11"/>
  <c r="L5" i="11"/>
  <c r="C6" i="11"/>
  <c r="D6" i="11"/>
  <c r="E6" i="11"/>
  <c r="F6" i="11"/>
  <c r="G6" i="11"/>
  <c r="H6" i="11"/>
  <c r="I6" i="11"/>
  <c r="J6" i="11"/>
  <c r="K6" i="11"/>
  <c r="L6" i="11"/>
  <c r="B6" i="11"/>
  <c r="B7" i="11"/>
  <c r="B5" i="11"/>
  <c r="L3" i="11"/>
  <c r="K3" i="11"/>
  <c r="J3" i="11"/>
  <c r="I3" i="11"/>
  <c r="H3" i="11"/>
  <c r="G3" i="11"/>
  <c r="F3" i="11"/>
  <c r="E3" i="11"/>
  <c r="D3" i="11"/>
  <c r="C3" i="11"/>
  <c r="E56" i="10"/>
  <c r="F56" i="10"/>
  <c r="F57" i="10" s="1"/>
  <c r="G56" i="10"/>
  <c r="G57" i="10" s="1"/>
  <c r="H56" i="10"/>
  <c r="I56" i="10"/>
  <c r="J56" i="10"/>
  <c r="K56" i="10"/>
  <c r="L56" i="10"/>
  <c r="D56" i="10"/>
  <c r="D57" i="10" s="1"/>
  <c r="D50" i="10"/>
  <c r="D49" i="10"/>
  <c r="E49" i="10"/>
  <c r="F49" i="10"/>
  <c r="G49" i="10"/>
  <c r="H49" i="10"/>
  <c r="I49" i="10"/>
  <c r="J49" i="10"/>
  <c r="K49" i="10"/>
  <c r="L49" i="10"/>
  <c r="L57" i="10" s="1"/>
  <c r="C49" i="10"/>
  <c r="H57" i="10"/>
  <c r="I57" i="10"/>
  <c r="J57" i="10"/>
  <c r="K57" i="10"/>
  <c r="C56" i="10"/>
  <c r="C57" i="10" s="1"/>
  <c r="D52" i="10"/>
  <c r="E52" i="10"/>
  <c r="E54" i="10" s="1"/>
  <c r="F52" i="10"/>
  <c r="F54" i="10" s="1"/>
  <c r="G52" i="10"/>
  <c r="H52" i="10"/>
  <c r="H54" i="10" s="1"/>
  <c r="I52" i="10"/>
  <c r="I54" i="10" s="1"/>
  <c r="J52" i="10"/>
  <c r="K52" i="10"/>
  <c r="L52" i="10"/>
  <c r="D53" i="10"/>
  <c r="E53" i="10"/>
  <c r="F53" i="10"/>
  <c r="G53" i="10"/>
  <c r="H53" i="10"/>
  <c r="I53" i="10"/>
  <c r="J53" i="10"/>
  <c r="K53" i="10"/>
  <c r="L53" i="10"/>
  <c r="D54" i="10"/>
  <c r="G54" i="10"/>
  <c r="J54" i="10"/>
  <c r="K54" i="10"/>
  <c r="L54" i="10"/>
  <c r="C52" i="10"/>
  <c r="C54" i="10" s="1"/>
  <c r="C53" i="10"/>
  <c r="E50" i="10"/>
  <c r="F50" i="10"/>
  <c r="G50" i="10"/>
  <c r="H50" i="10"/>
  <c r="I50" i="10"/>
  <c r="J50" i="10"/>
  <c r="K50" i="10"/>
  <c r="L50" i="10"/>
  <c r="D45" i="10"/>
  <c r="E45" i="10"/>
  <c r="F45" i="10"/>
  <c r="G45" i="10"/>
  <c r="H45" i="10"/>
  <c r="I45" i="10"/>
  <c r="J45" i="10"/>
  <c r="K45" i="10"/>
  <c r="L45" i="10"/>
  <c r="D43" i="10"/>
  <c r="E43" i="10"/>
  <c r="F43" i="10"/>
  <c r="G43" i="10"/>
  <c r="H43" i="10"/>
  <c r="I43" i="10"/>
  <c r="J43" i="10"/>
  <c r="K43" i="10"/>
  <c r="L43" i="10"/>
  <c r="C43" i="10"/>
  <c r="C45" i="10" s="1"/>
  <c r="D42" i="10"/>
  <c r="E42" i="10"/>
  <c r="F42" i="10"/>
  <c r="G42" i="10"/>
  <c r="H42" i="10"/>
  <c r="I42" i="10"/>
  <c r="J42" i="10"/>
  <c r="K42" i="10"/>
  <c r="L42" i="10"/>
  <c r="C42" i="10"/>
  <c r="D41" i="10"/>
  <c r="E41" i="10"/>
  <c r="F41" i="10"/>
  <c r="G41" i="10"/>
  <c r="H41" i="10"/>
  <c r="I41" i="10"/>
  <c r="J41" i="10"/>
  <c r="K41" i="10"/>
  <c r="L41" i="10"/>
  <c r="C41" i="10"/>
  <c r="D40" i="10"/>
  <c r="E40" i="10"/>
  <c r="F40" i="10"/>
  <c r="G40" i="10"/>
  <c r="H40" i="10"/>
  <c r="I40" i="10"/>
  <c r="J40" i="10"/>
  <c r="K40" i="10"/>
  <c r="L40" i="10"/>
  <c r="C40" i="10"/>
  <c r="D38" i="10"/>
  <c r="E38" i="10"/>
  <c r="F38" i="10"/>
  <c r="G38" i="10"/>
  <c r="H38" i="10"/>
  <c r="I38" i="10"/>
  <c r="J38" i="10"/>
  <c r="K38" i="10"/>
  <c r="L38" i="10"/>
  <c r="C38" i="10"/>
  <c r="D37" i="10"/>
  <c r="E37" i="10"/>
  <c r="F37" i="10"/>
  <c r="G37" i="10"/>
  <c r="H37" i="10"/>
  <c r="I37" i="10"/>
  <c r="J37" i="10"/>
  <c r="K37" i="10"/>
  <c r="L37" i="10"/>
  <c r="C37" i="10"/>
  <c r="C27" i="10"/>
  <c r="D27" i="10"/>
  <c r="E27" i="10"/>
  <c r="F27" i="10"/>
  <c r="G27" i="10"/>
  <c r="H27" i="10"/>
  <c r="I27" i="10"/>
  <c r="J27" i="10"/>
  <c r="K27" i="10"/>
  <c r="L27" i="10"/>
  <c r="C28" i="10"/>
  <c r="D28" i="10"/>
  <c r="E28" i="10"/>
  <c r="F28" i="10"/>
  <c r="G28" i="10"/>
  <c r="H28" i="10"/>
  <c r="I28" i="10"/>
  <c r="J28" i="10"/>
  <c r="K28" i="10"/>
  <c r="L28" i="10"/>
  <c r="C29" i="10"/>
  <c r="D29" i="10"/>
  <c r="E29" i="10"/>
  <c r="F29" i="10"/>
  <c r="G29" i="10"/>
  <c r="H29" i="10"/>
  <c r="I29" i="10"/>
  <c r="J29" i="10"/>
  <c r="K29" i="10"/>
  <c r="L29" i="10"/>
  <c r="C30" i="10"/>
  <c r="D30" i="10"/>
  <c r="E30" i="10"/>
  <c r="F30" i="10"/>
  <c r="G30" i="10"/>
  <c r="H30" i="10"/>
  <c r="I30" i="10"/>
  <c r="J30" i="10"/>
  <c r="K30" i="10"/>
  <c r="L30" i="10"/>
  <c r="C31" i="10"/>
  <c r="D31" i="10"/>
  <c r="E31" i="10"/>
  <c r="F31" i="10"/>
  <c r="G31" i="10"/>
  <c r="H31" i="10"/>
  <c r="I31" i="10"/>
  <c r="J31" i="10"/>
  <c r="K31" i="10"/>
  <c r="L31" i="10"/>
  <c r="C32" i="10"/>
  <c r="D32" i="10"/>
  <c r="E32" i="10"/>
  <c r="F32" i="10"/>
  <c r="G32" i="10"/>
  <c r="H32" i="10"/>
  <c r="I32" i="10"/>
  <c r="J32" i="10"/>
  <c r="K32" i="10"/>
  <c r="L32" i="10"/>
  <c r="C33" i="10"/>
  <c r="D33" i="10"/>
  <c r="E33" i="10"/>
  <c r="F33" i="10"/>
  <c r="G33" i="10"/>
  <c r="H33" i="10"/>
  <c r="I33" i="10"/>
  <c r="J33" i="10"/>
  <c r="K33" i="10"/>
  <c r="L33" i="10"/>
  <c r="C34" i="10"/>
  <c r="D34" i="10"/>
  <c r="E34" i="10"/>
  <c r="F34" i="10"/>
  <c r="G34" i="10"/>
  <c r="H34" i="10"/>
  <c r="I34" i="10"/>
  <c r="J34" i="10"/>
  <c r="K34" i="10"/>
  <c r="L34" i="10"/>
  <c r="C35" i="10"/>
  <c r="D35" i="10"/>
  <c r="E35" i="10"/>
  <c r="F35" i="10"/>
  <c r="G35" i="10"/>
  <c r="H35" i="10"/>
  <c r="I35" i="10"/>
  <c r="J35" i="10"/>
  <c r="K35" i="10"/>
  <c r="L35" i="10"/>
  <c r="C36" i="10"/>
  <c r="D36" i="10"/>
  <c r="E36" i="10"/>
  <c r="F36" i="10"/>
  <c r="G36" i="10"/>
  <c r="H36" i="10"/>
  <c r="I36" i="10"/>
  <c r="J36" i="10"/>
  <c r="K36" i="10"/>
  <c r="L36" i="10"/>
  <c r="D26" i="10"/>
  <c r="E26" i="10"/>
  <c r="F26" i="10"/>
  <c r="G26" i="10"/>
  <c r="H26" i="10"/>
  <c r="I26" i="10"/>
  <c r="J26" i="10"/>
  <c r="K26" i="10"/>
  <c r="L26" i="10"/>
  <c r="C26" i="10"/>
  <c r="B27" i="10"/>
  <c r="B28" i="10"/>
  <c r="B29" i="10"/>
  <c r="B30" i="10"/>
  <c r="B31" i="10"/>
  <c r="B32" i="10"/>
  <c r="B33" i="10"/>
  <c r="B34" i="10"/>
  <c r="B35" i="10"/>
  <c r="B36" i="10"/>
  <c r="B37" i="10"/>
  <c r="B26" i="10"/>
  <c r="D22" i="10"/>
  <c r="E22" i="10"/>
  <c r="F22" i="10"/>
  <c r="G22" i="10"/>
  <c r="H22" i="10"/>
  <c r="I22" i="10"/>
  <c r="J22" i="10"/>
  <c r="K22" i="10"/>
  <c r="L22" i="10"/>
  <c r="C22" i="10"/>
  <c r="D20" i="10"/>
  <c r="E20" i="10"/>
  <c r="F20" i="10"/>
  <c r="G20" i="10"/>
  <c r="H20" i="10"/>
  <c r="I20" i="10"/>
  <c r="J20" i="10"/>
  <c r="K20" i="10"/>
  <c r="L20" i="10"/>
  <c r="C20" i="10"/>
  <c r="C18" i="10"/>
  <c r="D18" i="10"/>
  <c r="E18" i="10"/>
  <c r="F18" i="10"/>
  <c r="G18" i="10"/>
  <c r="H18" i="10"/>
  <c r="I18" i="10"/>
  <c r="J18" i="10"/>
  <c r="K18" i="10"/>
  <c r="L18" i="10"/>
  <c r="C19" i="10"/>
  <c r="D19" i="10"/>
  <c r="E19" i="10"/>
  <c r="F19" i="10"/>
  <c r="G19" i="10"/>
  <c r="H19" i="10"/>
  <c r="I19" i="10"/>
  <c r="J19" i="10"/>
  <c r="K19" i="10"/>
  <c r="L19" i="10"/>
  <c r="D17" i="10"/>
  <c r="E17" i="10"/>
  <c r="F17" i="10"/>
  <c r="G17" i="10"/>
  <c r="H17" i="10"/>
  <c r="I17" i="10"/>
  <c r="J17" i="10"/>
  <c r="K17" i="10"/>
  <c r="L17" i="10"/>
  <c r="C17" i="10"/>
  <c r="B18" i="10"/>
  <c r="B19" i="10"/>
  <c r="B17" i="10"/>
  <c r="D14" i="10"/>
  <c r="E14" i="10"/>
  <c r="G14" i="10"/>
  <c r="L14" i="10"/>
  <c r="D12" i="10"/>
  <c r="E12" i="10"/>
  <c r="F12" i="10"/>
  <c r="F14" i="10" s="1"/>
  <c r="G12" i="10"/>
  <c r="H12" i="10"/>
  <c r="H14" i="10" s="1"/>
  <c r="I12" i="10"/>
  <c r="I14" i="10" s="1"/>
  <c r="J12" i="10"/>
  <c r="J14" i="10" s="1"/>
  <c r="K12" i="10"/>
  <c r="K14" i="10" s="1"/>
  <c r="L12" i="10"/>
  <c r="C12" i="10"/>
  <c r="C14" i="10" s="1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C9" i="10"/>
  <c r="C10" i="10"/>
  <c r="C11" i="10"/>
  <c r="C8" i="10"/>
  <c r="D7" i="10"/>
  <c r="E7" i="10"/>
  <c r="F7" i="10"/>
  <c r="G7" i="10"/>
  <c r="H7" i="10"/>
  <c r="I7" i="10"/>
  <c r="J7" i="10"/>
  <c r="K7" i="10"/>
  <c r="L7" i="10"/>
  <c r="C7" i="10"/>
  <c r="B8" i="10"/>
  <c r="B9" i="10"/>
  <c r="B10" i="10"/>
  <c r="B11" i="10"/>
  <c r="B7" i="10"/>
  <c r="I16" i="13" l="1"/>
  <c r="H8" i="12"/>
  <c r="H9" i="12" s="1"/>
  <c r="G13" i="13"/>
  <c r="I17" i="13"/>
  <c r="L8" i="12"/>
  <c r="L9" i="12" s="1"/>
  <c r="G11" i="13"/>
  <c r="J11" i="13" s="1"/>
  <c r="J8" i="12"/>
  <c r="J9" i="12" s="1"/>
  <c r="C31" i="13"/>
  <c r="D29" i="13"/>
  <c r="D30" i="13"/>
  <c r="J13" i="13"/>
  <c r="J12" i="13"/>
  <c r="G10" i="13"/>
  <c r="J10" i="13" s="1"/>
  <c r="G14" i="13"/>
  <c r="J14" i="13" s="1"/>
  <c r="H10" i="13"/>
  <c r="G12" i="13"/>
  <c r="P12" i="11"/>
  <c r="Q12" i="11" s="1"/>
  <c r="P11" i="11"/>
  <c r="Q11" i="11" s="1"/>
  <c r="C14" i="11"/>
  <c r="P8" i="11"/>
  <c r="Q8" i="11" s="1"/>
  <c r="P5" i="11"/>
  <c r="Q5" i="11" s="1"/>
  <c r="Q4" i="11"/>
  <c r="P4" i="11"/>
  <c r="O4" i="11"/>
  <c r="N4" i="11"/>
  <c r="E57" i="10"/>
  <c r="C12" i="12" l="1"/>
  <c r="C14" i="12"/>
  <c r="J17" i="13"/>
  <c r="J29" i="13" s="1"/>
  <c r="J16" i="13"/>
  <c r="D33" i="13"/>
  <c r="D31" i="13"/>
  <c r="H17" i="13"/>
  <c r="H16" i="13"/>
  <c r="E29" i="13" s="1"/>
  <c r="G16" i="13"/>
  <c r="G17" i="13"/>
  <c r="C15" i="12" l="1"/>
  <c r="C18" i="12" s="1"/>
  <c r="C20" i="12" s="1"/>
  <c r="C22" i="12" s="1"/>
  <c r="E37" i="13"/>
  <c r="E30" i="13"/>
  <c r="E38" i="13" s="1"/>
  <c r="E33" i="13" l="1"/>
  <c r="J30" i="13" s="1"/>
  <c r="J32" i="13" s="1"/>
  <c r="J24" i="13" s="1"/>
  <c r="J25" i="13" s="1"/>
  <c r="D38" i="13" s="1"/>
  <c r="E39" i="13" s="1"/>
  <c r="N3" i="10" l="1"/>
  <c r="O3" i="10"/>
  <c r="P3" i="10" s="1"/>
  <c r="Q3" i="10" s="1"/>
  <c r="M3" i="10"/>
  <c r="L3" i="10"/>
  <c r="K3" i="10"/>
  <c r="J3" i="10"/>
  <c r="I3" i="10"/>
  <c r="H3" i="10"/>
  <c r="G3" i="10"/>
  <c r="F3" i="10"/>
  <c r="E3" i="10"/>
  <c r="D3" i="10"/>
  <c r="C3" i="10"/>
  <c r="E9" i="7"/>
  <c r="F9" i="7"/>
  <c r="G9" i="7"/>
  <c r="H9" i="7"/>
  <c r="I9" i="7"/>
  <c r="J9" i="7"/>
  <c r="K9" i="7"/>
  <c r="L9" i="7"/>
  <c r="D9" i="7"/>
  <c r="E7" i="7"/>
  <c r="F7" i="7"/>
  <c r="G7" i="7"/>
  <c r="H7" i="7"/>
  <c r="I7" i="7"/>
  <c r="J7" i="7"/>
  <c r="K7" i="7"/>
  <c r="L7" i="7"/>
  <c r="D7" i="7"/>
  <c r="E6" i="7"/>
  <c r="F6" i="7"/>
  <c r="G6" i="7"/>
  <c r="H6" i="7"/>
  <c r="I6" i="7"/>
  <c r="J6" i="7"/>
  <c r="K6" i="7"/>
  <c r="L6" i="7"/>
  <c r="E8" i="7"/>
  <c r="F8" i="7"/>
  <c r="G8" i="7"/>
  <c r="H8" i="7"/>
  <c r="I8" i="7"/>
  <c r="J8" i="7"/>
  <c r="K8" i="7"/>
  <c r="L8" i="7"/>
  <c r="D8" i="7"/>
  <c r="D6" i="7"/>
  <c r="D5" i="7"/>
  <c r="E5" i="7"/>
  <c r="F5" i="7"/>
  <c r="G5" i="7"/>
  <c r="H5" i="7"/>
  <c r="I5" i="7"/>
  <c r="J5" i="7"/>
  <c r="K5" i="7"/>
  <c r="L5" i="7"/>
  <c r="L2" i="8" l="1"/>
  <c r="M4" i="8"/>
  <c r="M5" i="8" s="1"/>
  <c r="M6" i="8" s="1"/>
  <c r="M7" i="8" s="1"/>
  <c r="M8" i="8" s="1"/>
  <c r="M9" i="8" s="1"/>
  <c r="M10" i="8" s="1"/>
  <c r="M11" i="8" s="1"/>
  <c r="M12" i="8" s="1"/>
  <c r="M13" i="8" s="1"/>
  <c r="M14" i="8" s="1"/>
  <c r="M15" i="8" s="1"/>
  <c r="M16" i="8" s="1"/>
  <c r="M17" i="8" s="1"/>
  <c r="M18" i="8" s="1"/>
  <c r="M19" i="8" s="1"/>
  <c r="M20" i="8" s="1"/>
  <c r="D4" i="8" a="1"/>
  <c r="D4" i="8" s="1"/>
  <c r="D14" i="8" s="1"/>
  <c r="B2" i="8"/>
  <c r="H4" i="8"/>
  <c r="H5" i="8" s="1"/>
  <c r="H6" i="8" s="1"/>
  <c r="H7" i="8" s="1"/>
  <c r="H8" i="8" s="1"/>
  <c r="H9" i="8" s="1"/>
  <c r="H10" i="8" s="1"/>
  <c r="H11" i="8" s="1"/>
  <c r="H12" i="8" s="1"/>
  <c r="H13" i="8" s="1"/>
  <c r="H14" i="8" s="1"/>
  <c r="H15" i="8" s="1"/>
  <c r="H16" i="8" s="1"/>
  <c r="H17" i="8" s="1"/>
  <c r="H18" i="8" s="1"/>
  <c r="H19" i="8" s="1"/>
  <c r="H20" i="8" s="1"/>
  <c r="C4" i="8"/>
  <c r="C5" i="8" s="1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G2" i="8"/>
  <c r="D7" i="8" l="1"/>
  <c r="D9" i="8"/>
  <c r="D8" i="8"/>
  <c r="E8" i="8" s="1"/>
  <c r="D6" i="8"/>
  <c r="E6" i="8" s="1"/>
  <c r="D13" i="8"/>
  <c r="E13" i="8" s="1"/>
  <c r="D5" i="8"/>
  <c r="D19" i="8" s="1"/>
  <c r="D11" i="8"/>
  <c r="D10" i="8"/>
  <c r="E10" i="8" s="1"/>
  <c r="D12" i="8"/>
  <c r="D16" i="8"/>
  <c r="E5" i="8"/>
  <c r="E14" i="8"/>
  <c r="B2" i="7"/>
  <c r="L3" i="7"/>
  <c r="K3" i="7"/>
  <c r="J3" i="7"/>
  <c r="I3" i="7"/>
  <c r="H3" i="7"/>
  <c r="G3" i="7"/>
  <c r="F3" i="7"/>
  <c r="E3" i="7"/>
  <c r="D3" i="7"/>
  <c r="C3" i="7"/>
  <c r="D15" i="8" l="1"/>
  <c r="E16" i="8" s="1"/>
  <c r="D17" i="8"/>
  <c r="E17" i="8" s="1"/>
  <c r="D18" i="8"/>
  <c r="E18" i="8" s="1"/>
  <c r="E9" i="8"/>
  <c r="E12" i="8"/>
  <c r="E7" i="8"/>
  <c r="D20" i="8"/>
  <c r="E20" i="8" s="1"/>
  <c r="E11" i="8"/>
  <c r="C96" i="3"/>
  <c r="D96" i="3"/>
  <c r="E96" i="3"/>
  <c r="F96" i="3"/>
  <c r="G96" i="3"/>
  <c r="H96" i="3"/>
  <c r="I96" i="3"/>
  <c r="J96" i="3"/>
  <c r="K96" i="3"/>
  <c r="L96" i="3"/>
  <c r="C97" i="3"/>
  <c r="D97" i="3"/>
  <c r="E97" i="3"/>
  <c r="F97" i="3"/>
  <c r="G97" i="3"/>
  <c r="H97" i="3"/>
  <c r="I97" i="3"/>
  <c r="J97" i="3"/>
  <c r="K97" i="3"/>
  <c r="L97" i="3"/>
  <c r="C98" i="3"/>
  <c r="D98" i="3"/>
  <c r="E98" i="3"/>
  <c r="F98" i="3"/>
  <c r="G98" i="3"/>
  <c r="H98" i="3"/>
  <c r="I98" i="3"/>
  <c r="J98" i="3"/>
  <c r="K98" i="3"/>
  <c r="L98" i="3"/>
  <c r="C99" i="3"/>
  <c r="D99" i="3"/>
  <c r="E99" i="3"/>
  <c r="F99" i="3"/>
  <c r="G99" i="3"/>
  <c r="H99" i="3"/>
  <c r="I99" i="3"/>
  <c r="J99" i="3"/>
  <c r="K99" i="3"/>
  <c r="L99" i="3"/>
  <c r="C100" i="3"/>
  <c r="D100" i="3"/>
  <c r="E100" i="3"/>
  <c r="F100" i="3"/>
  <c r="G100" i="3"/>
  <c r="H100" i="3"/>
  <c r="I100" i="3"/>
  <c r="J100" i="3"/>
  <c r="K100" i="3"/>
  <c r="L100" i="3"/>
  <c r="C101" i="3"/>
  <c r="D101" i="3"/>
  <c r="E101" i="3"/>
  <c r="F101" i="3"/>
  <c r="G101" i="3"/>
  <c r="H101" i="3"/>
  <c r="I101" i="3"/>
  <c r="J101" i="3"/>
  <c r="K101" i="3"/>
  <c r="L101" i="3"/>
  <c r="C102" i="3"/>
  <c r="D102" i="3"/>
  <c r="E102" i="3"/>
  <c r="F102" i="3"/>
  <c r="G102" i="3"/>
  <c r="H102" i="3"/>
  <c r="I102" i="3"/>
  <c r="J102" i="3"/>
  <c r="K102" i="3"/>
  <c r="L102" i="3"/>
  <c r="D95" i="3"/>
  <c r="E95" i="3"/>
  <c r="F95" i="3"/>
  <c r="G95" i="3"/>
  <c r="H95" i="3"/>
  <c r="I95" i="3"/>
  <c r="J95" i="3"/>
  <c r="K95" i="3"/>
  <c r="L95" i="3"/>
  <c r="C95" i="3"/>
  <c r="C82" i="3"/>
  <c r="D82" i="3"/>
  <c r="E82" i="3"/>
  <c r="F82" i="3"/>
  <c r="G82" i="3"/>
  <c r="H82" i="3"/>
  <c r="I82" i="3"/>
  <c r="J82" i="3"/>
  <c r="K82" i="3"/>
  <c r="L82" i="3"/>
  <c r="C83" i="3"/>
  <c r="D83" i="3"/>
  <c r="E83" i="3"/>
  <c r="F83" i="3"/>
  <c r="G83" i="3"/>
  <c r="H83" i="3"/>
  <c r="I83" i="3"/>
  <c r="J83" i="3"/>
  <c r="K83" i="3"/>
  <c r="L83" i="3"/>
  <c r="C84" i="3"/>
  <c r="D84" i="3"/>
  <c r="E84" i="3"/>
  <c r="F84" i="3"/>
  <c r="G84" i="3"/>
  <c r="H84" i="3"/>
  <c r="I84" i="3"/>
  <c r="J84" i="3"/>
  <c r="K84" i="3"/>
  <c r="L84" i="3"/>
  <c r="C85" i="3"/>
  <c r="D85" i="3"/>
  <c r="E85" i="3"/>
  <c r="F85" i="3"/>
  <c r="G85" i="3"/>
  <c r="H85" i="3"/>
  <c r="I85" i="3"/>
  <c r="J85" i="3"/>
  <c r="K85" i="3"/>
  <c r="L85" i="3"/>
  <c r="C86" i="3"/>
  <c r="D86" i="3"/>
  <c r="E86" i="3"/>
  <c r="F86" i="3"/>
  <c r="G86" i="3"/>
  <c r="H86" i="3"/>
  <c r="I86" i="3"/>
  <c r="J86" i="3"/>
  <c r="K86" i="3"/>
  <c r="L86" i="3"/>
  <c r="C87" i="3"/>
  <c r="D87" i="3"/>
  <c r="E87" i="3"/>
  <c r="F87" i="3"/>
  <c r="G87" i="3"/>
  <c r="H87" i="3"/>
  <c r="I87" i="3"/>
  <c r="J87" i="3"/>
  <c r="K87" i="3"/>
  <c r="L87" i="3"/>
  <c r="C88" i="3"/>
  <c r="D88" i="3"/>
  <c r="E88" i="3"/>
  <c r="F88" i="3"/>
  <c r="G88" i="3"/>
  <c r="H88" i="3"/>
  <c r="I88" i="3"/>
  <c r="J88" i="3"/>
  <c r="K88" i="3"/>
  <c r="L88" i="3"/>
  <c r="C89" i="3"/>
  <c r="D89" i="3"/>
  <c r="E89" i="3"/>
  <c r="F89" i="3"/>
  <c r="G89" i="3"/>
  <c r="H89" i="3"/>
  <c r="I89" i="3"/>
  <c r="J89" i="3"/>
  <c r="K89" i="3"/>
  <c r="L89" i="3"/>
  <c r="C90" i="3"/>
  <c r="D90" i="3"/>
  <c r="E90" i="3"/>
  <c r="F90" i="3"/>
  <c r="G90" i="3"/>
  <c r="H90" i="3"/>
  <c r="I90" i="3"/>
  <c r="J90" i="3"/>
  <c r="K90" i="3"/>
  <c r="L90" i="3"/>
  <c r="C91" i="3"/>
  <c r="D91" i="3"/>
  <c r="E91" i="3"/>
  <c r="F91" i="3"/>
  <c r="G91" i="3"/>
  <c r="H91" i="3"/>
  <c r="I91" i="3"/>
  <c r="J91" i="3"/>
  <c r="K91" i="3"/>
  <c r="L91" i="3"/>
  <c r="D81" i="3"/>
  <c r="E81" i="3"/>
  <c r="F81" i="3"/>
  <c r="G81" i="3"/>
  <c r="H81" i="3"/>
  <c r="I81" i="3"/>
  <c r="J81" i="3"/>
  <c r="K81" i="3"/>
  <c r="L81" i="3"/>
  <c r="C81" i="3"/>
  <c r="E70" i="3"/>
  <c r="C72" i="3"/>
  <c r="D72" i="3"/>
  <c r="E72" i="3"/>
  <c r="F72" i="3"/>
  <c r="G72" i="3"/>
  <c r="H72" i="3"/>
  <c r="I72" i="3"/>
  <c r="J72" i="3"/>
  <c r="K72" i="3"/>
  <c r="L72" i="3"/>
  <c r="C73" i="3"/>
  <c r="D73" i="3"/>
  <c r="E73" i="3"/>
  <c r="F73" i="3"/>
  <c r="G73" i="3"/>
  <c r="H73" i="3"/>
  <c r="I73" i="3"/>
  <c r="J73" i="3"/>
  <c r="K73" i="3"/>
  <c r="L73" i="3"/>
  <c r="C74" i="3"/>
  <c r="D74" i="3"/>
  <c r="E74" i="3"/>
  <c r="F74" i="3"/>
  <c r="G74" i="3"/>
  <c r="H74" i="3"/>
  <c r="I74" i="3"/>
  <c r="J74" i="3"/>
  <c r="K74" i="3"/>
  <c r="L74" i="3"/>
  <c r="C75" i="3"/>
  <c r="D75" i="3"/>
  <c r="E75" i="3"/>
  <c r="F75" i="3"/>
  <c r="G75" i="3"/>
  <c r="H75" i="3"/>
  <c r="I75" i="3"/>
  <c r="J75" i="3"/>
  <c r="K75" i="3"/>
  <c r="L75" i="3"/>
  <c r="C76" i="3"/>
  <c r="D76" i="3"/>
  <c r="E76" i="3"/>
  <c r="F76" i="3"/>
  <c r="G76" i="3"/>
  <c r="H76" i="3"/>
  <c r="I76" i="3"/>
  <c r="J76" i="3"/>
  <c r="K76" i="3"/>
  <c r="L76" i="3"/>
  <c r="C77" i="3"/>
  <c r="D77" i="3"/>
  <c r="E77" i="3"/>
  <c r="F77" i="3"/>
  <c r="G77" i="3"/>
  <c r="H77" i="3"/>
  <c r="I77" i="3"/>
  <c r="J77" i="3"/>
  <c r="K77" i="3"/>
  <c r="L77" i="3"/>
  <c r="D70" i="3"/>
  <c r="F70" i="3"/>
  <c r="G70" i="3"/>
  <c r="H70" i="3"/>
  <c r="I70" i="3"/>
  <c r="J70" i="3"/>
  <c r="J78" i="3" s="1"/>
  <c r="K70" i="3"/>
  <c r="L70" i="3"/>
  <c r="C70" i="3"/>
  <c r="D55" i="3"/>
  <c r="E55" i="3"/>
  <c r="F55" i="3"/>
  <c r="G55" i="3"/>
  <c r="H55" i="3"/>
  <c r="I55" i="3"/>
  <c r="J55" i="3"/>
  <c r="K55" i="3"/>
  <c r="L55" i="3"/>
  <c r="M55" i="3"/>
  <c r="C55" i="3"/>
  <c r="C50" i="3"/>
  <c r="C59" i="3"/>
  <c r="D59" i="3"/>
  <c r="E59" i="3"/>
  <c r="F59" i="3"/>
  <c r="G59" i="3"/>
  <c r="H59" i="3"/>
  <c r="I59" i="3"/>
  <c r="J59" i="3"/>
  <c r="K59" i="3"/>
  <c r="L59" i="3"/>
  <c r="M59" i="3"/>
  <c r="C60" i="3"/>
  <c r="D60" i="3"/>
  <c r="E60" i="3"/>
  <c r="F60" i="3"/>
  <c r="G60" i="3"/>
  <c r="H60" i="3"/>
  <c r="I60" i="3"/>
  <c r="J60" i="3"/>
  <c r="K60" i="3"/>
  <c r="L60" i="3"/>
  <c r="M60" i="3"/>
  <c r="D58" i="3"/>
  <c r="E58" i="3"/>
  <c r="F58" i="3"/>
  <c r="G58" i="3"/>
  <c r="H58" i="3"/>
  <c r="H61" i="3" s="1"/>
  <c r="I58" i="3"/>
  <c r="J58" i="3"/>
  <c r="K58" i="3"/>
  <c r="K61" i="3" s="1"/>
  <c r="L58" i="3"/>
  <c r="M58" i="3"/>
  <c r="C58" i="3"/>
  <c r="C61" i="3" s="1"/>
  <c r="C53" i="3"/>
  <c r="D53" i="3"/>
  <c r="E53" i="3"/>
  <c r="F53" i="3"/>
  <c r="G53" i="3"/>
  <c r="H53" i="3"/>
  <c r="I53" i="3"/>
  <c r="J53" i="3"/>
  <c r="K53" i="3"/>
  <c r="L53" i="3"/>
  <c r="M53" i="3"/>
  <c r="C54" i="3"/>
  <c r="D54" i="3"/>
  <c r="E54" i="3"/>
  <c r="F54" i="3"/>
  <c r="G54" i="3"/>
  <c r="H54" i="3"/>
  <c r="I54" i="3"/>
  <c r="J54" i="3"/>
  <c r="K54" i="3"/>
  <c r="L54" i="3"/>
  <c r="M54" i="3"/>
  <c r="D52" i="3"/>
  <c r="D56" i="3" s="1"/>
  <c r="E52" i="3"/>
  <c r="F52" i="3"/>
  <c r="G52" i="3"/>
  <c r="G56" i="3" s="1"/>
  <c r="H52" i="3"/>
  <c r="I52" i="3"/>
  <c r="J52" i="3"/>
  <c r="K52" i="3"/>
  <c r="L52" i="3"/>
  <c r="L56" i="3" s="1"/>
  <c r="M52" i="3"/>
  <c r="C52" i="3"/>
  <c r="C47" i="3"/>
  <c r="D47" i="3"/>
  <c r="E47" i="3"/>
  <c r="F47" i="3"/>
  <c r="G47" i="3"/>
  <c r="H47" i="3"/>
  <c r="I47" i="3"/>
  <c r="J47" i="3"/>
  <c r="K47" i="3"/>
  <c r="L47" i="3"/>
  <c r="M47" i="3"/>
  <c r="C48" i="3"/>
  <c r="D48" i="3"/>
  <c r="E48" i="3"/>
  <c r="F48" i="3"/>
  <c r="G48" i="3"/>
  <c r="H48" i="3"/>
  <c r="I48" i="3"/>
  <c r="J48" i="3"/>
  <c r="K48" i="3"/>
  <c r="L48" i="3"/>
  <c r="M48" i="3"/>
  <c r="C49" i="3"/>
  <c r="D49" i="3"/>
  <c r="E49" i="3"/>
  <c r="F49" i="3"/>
  <c r="G49" i="3"/>
  <c r="H49" i="3"/>
  <c r="I49" i="3"/>
  <c r="J49" i="3"/>
  <c r="K49" i="3"/>
  <c r="L49" i="3"/>
  <c r="M49" i="3"/>
  <c r="D50" i="3"/>
  <c r="E50" i="3"/>
  <c r="F50" i="3"/>
  <c r="G50" i="3"/>
  <c r="H50" i="3"/>
  <c r="I50" i="3"/>
  <c r="J50" i="3"/>
  <c r="K50" i="3"/>
  <c r="L50" i="3"/>
  <c r="M50" i="3"/>
  <c r="D46" i="3"/>
  <c r="E46" i="3"/>
  <c r="F46" i="3"/>
  <c r="G46" i="3"/>
  <c r="H46" i="3"/>
  <c r="I46" i="3"/>
  <c r="J46" i="3"/>
  <c r="K46" i="3"/>
  <c r="L46" i="3"/>
  <c r="M46" i="3"/>
  <c r="C46" i="3"/>
  <c r="M34" i="3"/>
  <c r="M39" i="3" s="1"/>
  <c r="D34" i="3"/>
  <c r="D39" i="3" s="1"/>
  <c r="E34" i="3"/>
  <c r="E39" i="3" s="1"/>
  <c r="F34" i="3"/>
  <c r="F39" i="3" s="1"/>
  <c r="G34" i="3"/>
  <c r="G39" i="3" s="1"/>
  <c r="H34" i="3"/>
  <c r="H39" i="3" s="1"/>
  <c r="I34" i="3"/>
  <c r="I39" i="3" s="1"/>
  <c r="J34" i="3"/>
  <c r="J39" i="3" s="1"/>
  <c r="K34" i="3"/>
  <c r="K39" i="3" s="1"/>
  <c r="L34" i="3"/>
  <c r="L39" i="3" s="1"/>
  <c r="C34" i="3"/>
  <c r="C39" i="3" s="1"/>
  <c r="M28" i="3"/>
  <c r="D28" i="3"/>
  <c r="E28" i="3"/>
  <c r="F28" i="3"/>
  <c r="G28" i="3"/>
  <c r="H28" i="3"/>
  <c r="I28" i="3"/>
  <c r="J28" i="3"/>
  <c r="K28" i="3"/>
  <c r="L28" i="3"/>
  <c r="C28" i="3"/>
  <c r="M22" i="3"/>
  <c r="D22" i="3"/>
  <c r="E22" i="3"/>
  <c r="F22" i="3"/>
  <c r="G22" i="3"/>
  <c r="H22" i="3"/>
  <c r="I22" i="3"/>
  <c r="J22" i="3"/>
  <c r="K22" i="3"/>
  <c r="L22" i="3"/>
  <c r="C22" i="3"/>
  <c r="M19" i="3"/>
  <c r="D19" i="3"/>
  <c r="E19" i="3"/>
  <c r="F19" i="3"/>
  <c r="G19" i="3"/>
  <c r="H19" i="3"/>
  <c r="I19" i="3"/>
  <c r="J19" i="3"/>
  <c r="K19" i="3"/>
  <c r="L19" i="3"/>
  <c r="C19" i="3"/>
  <c r="M13" i="3"/>
  <c r="D13" i="3"/>
  <c r="E13" i="3"/>
  <c r="F13" i="3"/>
  <c r="G13" i="3"/>
  <c r="H13" i="3"/>
  <c r="I13" i="3"/>
  <c r="J13" i="3"/>
  <c r="K13" i="3"/>
  <c r="L13" i="3"/>
  <c r="C13" i="3"/>
  <c r="M7" i="3"/>
  <c r="D7" i="3"/>
  <c r="E7" i="3"/>
  <c r="F7" i="3"/>
  <c r="G7" i="3"/>
  <c r="H7" i="3"/>
  <c r="I7" i="3"/>
  <c r="J7" i="3"/>
  <c r="K7" i="3"/>
  <c r="L7" i="3"/>
  <c r="C7" i="3"/>
  <c r="M5" i="3"/>
  <c r="D5" i="3"/>
  <c r="E5" i="3"/>
  <c r="F5" i="3"/>
  <c r="G5" i="3"/>
  <c r="H5" i="3"/>
  <c r="I5" i="3"/>
  <c r="J5" i="3"/>
  <c r="K5" i="3"/>
  <c r="L5" i="3"/>
  <c r="C5" i="3"/>
  <c r="L3" i="3"/>
  <c r="D3" i="3"/>
  <c r="E3" i="3"/>
  <c r="F3" i="3"/>
  <c r="G3" i="3"/>
  <c r="H3" i="3"/>
  <c r="I3" i="3"/>
  <c r="J3" i="3"/>
  <c r="K3" i="3"/>
  <c r="C3" i="3"/>
  <c r="B2" i="3"/>
  <c r="E1" i="1" s="1"/>
  <c r="B6" i="1"/>
  <c r="K56" i="3" l="1"/>
  <c r="K63" i="3" s="1"/>
  <c r="K65" i="3" s="1"/>
  <c r="L61" i="3"/>
  <c r="L63" i="3" s="1"/>
  <c r="L65" i="3" s="1"/>
  <c r="D61" i="3"/>
  <c r="D63" i="3" s="1"/>
  <c r="D65" i="3" s="1"/>
  <c r="H78" i="3"/>
  <c r="H39" i="7" s="1"/>
  <c r="L103" i="3"/>
  <c r="J61" i="3"/>
  <c r="F78" i="3"/>
  <c r="F41" i="7" s="1"/>
  <c r="H56" i="3"/>
  <c r="D78" i="3"/>
  <c r="D39" i="7" s="1"/>
  <c r="L78" i="3"/>
  <c r="L105" i="3" s="1"/>
  <c r="E92" i="3"/>
  <c r="I78" i="3"/>
  <c r="I41" i="7" s="1"/>
  <c r="J41" i="7"/>
  <c r="J39" i="7"/>
  <c r="J10" i="3"/>
  <c r="J11" i="3" s="1"/>
  <c r="J11" i="7" s="1"/>
  <c r="J28" i="7"/>
  <c r="J35" i="7" s="1"/>
  <c r="J27" i="7"/>
  <c r="J34" i="7" s="1"/>
  <c r="J29" i="7"/>
  <c r="J36" i="7" s="1"/>
  <c r="J30" i="7"/>
  <c r="J31" i="7"/>
  <c r="I6" i="3"/>
  <c r="I27" i="7"/>
  <c r="I34" i="7" s="1"/>
  <c r="I30" i="7"/>
  <c r="I28" i="7"/>
  <c r="I35" i="7" s="1"/>
  <c r="I29" i="7"/>
  <c r="I36" i="7" s="1"/>
  <c r="I31" i="7"/>
  <c r="M56" i="3"/>
  <c r="E56" i="3"/>
  <c r="F61" i="3"/>
  <c r="K78" i="3"/>
  <c r="H20" i="3"/>
  <c r="H31" i="7"/>
  <c r="H27" i="7"/>
  <c r="H34" i="7" s="1"/>
  <c r="H28" i="7"/>
  <c r="H35" i="7" s="1"/>
  <c r="H29" i="7"/>
  <c r="H36" i="7" s="1"/>
  <c r="H30" i="7"/>
  <c r="E15" i="8"/>
  <c r="F28" i="7"/>
  <c r="F35" i="7" s="1"/>
  <c r="F29" i="7"/>
  <c r="F36" i="7" s="1"/>
  <c r="F30" i="7"/>
  <c r="F31" i="7"/>
  <c r="F27" i="7"/>
  <c r="F34" i="7" s="1"/>
  <c r="J56" i="3"/>
  <c r="J63" i="3" s="1"/>
  <c r="J65" i="3" s="1"/>
  <c r="L92" i="3"/>
  <c r="G27" i="7"/>
  <c r="G34" i="7" s="1"/>
  <c r="G28" i="7"/>
  <c r="G35" i="7" s="1"/>
  <c r="G31" i="7"/>
  <c r="G29" i="7"/>
  <c r="G36" i="7" s="1"/>
  <c r="G30" i="7"/>
  <c r="C28" i="7"/>
  <c r="C31" i="7"/>
  <c r="C30" i="7"/>
  <c r="C29" i="7"/>
  <c r="C27" i="7"/>
  <c r="E29" i="7"/>
  <c r="E36" i="7" s="1"/>
  <c r="E30" i="7"/>
  <c r="E31" i="7"/>
  <c r="E27" i="7"/>
  <c r="E34" i="7" s="1"/>
  <c r="E28" i="7"/>
  <c r="E35" i="7" s="1"/>
  <c r="I56" i="3"/>
  <c r="C56" i="3"/>
  <c r="F56" i="3"/>
  <c r="G61" i="3"/>
  <c r="G63" i="3" s="1"/>
  <c r="G65" i="3" s="1"/>
  <c r="G78" i="3"/>
  <c r="L30" i="7"/>
  <c r="L31" i="7"/>
  <c r="L28" i="7"/>
  <c r="L35" i="7" s="1"/>
  <c r="L29" i="7"/>
  <c r="L36" i="7" s="1"/>
  <c r="L27" i="7"/>
  <c r="L34" i="7" s="1"/>
  <c r="D30" i="7"/>
  <c r="D31" i="7"/>
  <c r="D27" i="7"/>
  <c r="D34" i="7" s="1"/>
  <c r="D28" i="7"/>
  <c r="D35" i="7" s="1"/>
  <c r="D29" i="7"/>
  <c r="D36" i="7" s="1"/>
  <c r="I61" i="3"/>
  <c r="E78" i="3"/>
  <c r="C103" i="3"/>
  <c r="K31" i="7"/>
  <c r="K29" i="7"/>
  <c r="K36" i="7" s="1"/>
  <c r="K28" i="7"/>
  <c r="K35" i="7" s="1"/>
  <c r="K30" i="7"/>
  <c r="K27" i="7"/>
  <c r="K34" i="7" s="1"/>
  <c r="M61" i="3"/>
  <c r="E61" i="3"/>
  <c r="C78" i="3"/>
  <c r="L40" i="7"/>
  <c r="L41" i="7"/>
  <c r="E19" i="8"/>
  <c r="C63" i="3"/>
  <c r="C65" i="3" s="1"/>
  <c r="F63" i="3"/>
  <c r="F65" i="3" s="1"/>
  <c r="H63" i="3"/>
  <c r="H65" i="3" s="1"/>
  <c r="H92" i="3"/>
  <c r="D92" i="3"/>
  <c r="D103" i="3"/>
  <c r="D105" i="3" s="1"/>
  <c r="G14" i="3"/>
  <c r="G17" i="7" s="1"/>
  <c r="M40" i="3"/>
  <c r="K103" i="3"/>
  <c r="K92" i="3"/>
  <c r="G92" i="3"/>
  <c r="H103" i="3"/>
  <c r="J103" i="3"/>
  <c r="J92" i="3"/>
  <c r="F92" i="3"/>
  <c r="G103" i="3"/>
  <c r="F6" i="3"/>
  <c r="I92" i="3"/>
  <c r="I103" i="3"/>
  <c r="F103" i="3"/>
  <c r="E103" i="3"/>
  <c r="C92" i="3"/>
  <c r="M8" i="3"/>
  <c r="I10" i="3"/>
  <c r="J8" i="3"/>
  <c r="I8" i="3"/>
  <c r="E20" i="3"/>
  <c r="H8" i="3"/>
  <c r="J16" i="3"/>
  <c r="L10" i="3"/>
  <c r="D10" i="3"/>
  <c r="C14" i="3"/>
  <c r="C17" i="7" s="1"/>
  <c r="C8" i="3"/>
  <c r="F23" i="3"/>
  <c r="F18" i="7" s="1"/>
  <c r="E14" i="3"/>
  <c r="E17" i="7" s="1"/>
  <c r="E8" i="3"/>
  <c r="C20" i="3"/>
  <c r="G20" i="3"/>
  <c r="K8" i="3"/>
  <c r="H23" i="3"/>
  <c r="H18" i="7" s="1"/>
  <c r="E23" i="3"/>
  <c r="E18" i="7" s="1"/>
  <c r="C23" i="3"/>
  <c r="C18" i="7" s="1"/>
  <c r="J14" i="3"/>
  <c r="J17" i="7" s="1"/>
  <c r="G6" i="3"/>
  <c r="F10" i="3"/>
  <c r="F20" i="3"/>
  <c r="M42" i="3"/>
  <c r="D6" i="3"/>
  <c r="F14" i="3"/>
  <c r="F17" i="7" s="1"/>
  <c r="L20" i="3"/>
  <c r="D20" i="3"/>
  <c r="K10" i="3"/>
  <c r="D14" i="3"/>
  <c r="D17" i="7" s="1"/>
  <c r="K20" i="3"/>
  <c r="M20" i="3"/>
  <c r="H6" i="3"/>
  <c r="G10" i="3"/>
  <c r="J20" i="3"/>
  <c r="J23" i="3"/>
  <c r="J18" i="7" s="1"/>
  <c r="I23" i="3"/>
  <c r="I18" i="7" s="1"/>
  <c r="D23" i="3"/>
  <c r="D18" i="7" s="1"/>
  <c r="E6" i="3"/>
  <c r="M14" i="3"/>
  <c r="I20" i="3"/>
  <c r="L23" i="3"/>
  <c r="L18" i="7" s="1"/>
  <c r="C10" i="3"/>
  <c r="E10" i="3"/>
  <c r="L8" i="3"/>
  <c r="D8" i="3"/>
  <c r="L14" i="3"/>
  <c r="L17" i="7" s="1"/>
  <c r="G23" i="3"/>
  <c r="G18" i="7" s="1"/>
  <c r="H10" i="3"/>
  <c r="M23" i="3"/>
  <c r="M6" i="3"/>
  <c r="G8" i="3"/>
  <c r="F8" i="3"/>
  <c r="K23" i="3"/>
  <c r="K18" i="7" s="1"/>
  <c r="J6" i="3"/>
  <c r="K14" i="3"/>
  <c r="K17" i="7" s="1"/>
  <c r="L6" i="3"/>
  <c r="I14" i="3"/>
  <c r="I17" i="7" s="1"/>
  <c r="K6" i="3"/>
  <c r="H14" i="3"/>
  <c r="H17" i="7" s="1"/>
  <c r="M10" i="3"/>
  <c r="D41" i="7" l="1"/>
  <c r="D40" i="7"/>
  <c r="L39" i="7"/>
  <c r="F39" i="7"/>
  <c r="I63" i="3"/>
  <c r="H41" i="7"/>
  <c r="H105" i="3"/>
  <c r="K37" i="7"/>
  <c r="G37" i="7"/>
  <c r="I37" i="7"/>
  <c r="I39" i="7"/>
  <c r="C105" i="3"/>
  <c r="E105" i="3"/>
  <c r="I105" i="3"/>
  <c r="G105" i="3"/>
  <c r="I65" i="3"/>
  <c r="I40" i="7"/>
  <c r="K16" i="3"/>
  <c r="K11" i="3"/>
  <c r="K11" i="7" s="1"/>
  <c r="L16" i="3"/>
  <c r="L25" i="3" s="1"/>
  <c r="L11" i="3"/>
  <c r="L11" i="7" s="1"/>
  <c r="F105" i="3"/>
  <c r="F40" i="7"/>
  <c r="M16" i="3"/>
  <c r="M11" i="3"/>
  <c r="F16" i="3"/>
  <c r="F11" i="3"/>
  <c r="F11" i="7" s="1"/>
  <c r="J25" i="7"/>
  <c r="J21" i="7"/>
  <c r="J105" i="3"/>
  <c r="O9" i="7"/>
  <c r="N9" i="7"/>
  <c r="L37" i="7"/>
  <c r="N27" i="7"/>
  <c r="C34" i="7"/>
  <c r="O27" i="7"/>
  <c r="C36" i="7"/>
  <c r="N29" i="7"/>
  <c r="O29" i="7"/>
  <c r="E16" i="3"/>
  <c r="E11" i="3"/>
  <c r="E11" i="7" s="1"/>
  <c r="O30" i="7"/>
  <c r="N30" i="7"/>
  <c r="C16" i="3"/>
  <c r="C11" i="3"/>
  <c r="C11" i="7" s="1"/>
  <c r="N18" i="7"/>
  <c r="O18" i="7"/>
  <c r="O31" i="7"/>
  <c r="N31" i="7"/>
  <c r="E63" i="3"/>
  <c r="E65" i="3" s="1"/>
  <c r="H40" i="7"/>
  <c r="K40" i="7"/>
  <c r="K41" i="7"/>
  <c r="K39" i="7"/>
  <c r="K105" i="3"/>
  <c r="E37" i="7"/>
  <c r="C35" i="7"/>
  <c r="O28" i="7"/>
  <c r="N28" i="7"/>
  <c r="F37" i="7"/>
  <c r="M63" i="3"/>
  <c r="M65" i="3" s="1"/>
  <c r="J40" i="7"/>
  <c r="H16" i="3"/>
  <c r="H11" i="3"/>
  <c r="H11" i="7" s="1"/>
  <c r="G16" i="3"/>
  <c r="G11" i="3"/>
  <c r="G11" i="7" s="1"/>
  <c r="O5" i="7"/>
  <c r="N5" i="7"/>
  <c r="O17" i="7"/>
  <c r="N17" i="7"/>
  <c r="I16" i="3"/>
  <c r="I11" i="3"/>
  <c r="I11" i="7" s="1"/>
  <c r="C39" i="7"/>
  <c r="C41" i="7"/>
  <c r="C40" i="7"/>
  <c r="D37" i="7"/>
  <c r="G40" i="7"/>
  <c r="G39" i="7"/>
  <c r="G41" i="7"/>
  <c r="D16" i="3"/>
  <c r="D11" i="3"/>
  <c r="D11" i="7" s="1"/>
  <c r="E39" i="7"/>
  <c r="E40" i="7"/>
  <c r="E41" i="7"/>
  <c r="H37" i="7"/>
  <c r="J37" i="7"/>
  <c r="F25" i="3"/>
  <c r="F13" i="7" s="1"/>
  <c r="F19" i="7" s="1"/>
  <c r="J17" i="3"/>
  <c r="J12" i="7" s="1"/>
  <c r="K25" i="3"/>
  <c r="K13" i="7" s="1"/>
  <c r="K19" i="7" s="1"/>
  <c r="E25" i="3"/>
  <c r="G25" i="3"/>
  <c r="L17" i="3"/>
  <c r="L12" i="7" s="1"/>
  <c r="E17" i="3"/>
  <c r="E12" i="7" s="1"/>
  <c r="J25" i="3"/>
  <c r="J13" i="7" s="1"/>
  <c r="J19" i="7" s="1"/>
  <c r="G17" i="3"/>
  <c r="G12" i="7" s="1"/>
  <c r="F17" i="3"/>
  <c r="F12" i="7" s="1"/>
  <c r="E26" i="3"/>
  <c r="E14" i="7" s="1"/>
  <c r="E31" i="3"/>
  <c r="E23" i="7" s="1"/>
  <c r="E29" i="3"/>
  <c r="K17" i="3"/>
  <c r="K12" i="7" s="1"/>
  <c r="F31" i="3"/>
  <c r="M25" i="3"/>
  <c r="M17" i="3"/>
  <c r="J26" i="3" l="1"/>
  <c r="J14" i="7" s="1"/>
  <c r="D17" i="3"/>
  <c r="D12" i="7" s="1"/>
  <c r="K29" i="3"/>
  <c r="D25" i="3"/>
  <c r="C25" i="3"/>
  <c r="C26" i="3" s="1"/>
  <c r="C14" i="7" s="1"/>
  <c r="I4" i="8" a="1"/>
  <c r="C29" i="3"/>
  <c r="C13" i="7"/>
  <c r="L13" i="7"/>
  <c r="L19" i="7" s="1"/>
  <c r="L29" i="3"/>
  <c r="L26" i="3"/>
  <c r="L14" i="7" s="1"/>
  <c r="I21" i="7"/>
  <c r="I25" i="7"/>
  <c r="I17" i="3"/>
  <c r="I12" i="7" s="1"/>
  <c r="H21" i="7"/>
  <c r="H25" i="7"/>
  <c r="O36" i="7"/>
  <c r="N36" i="7"/>
  <c r="D29" i="3"/>
  <c r="G13" i="7"/>
  <c r="G19" i="7" s="1"/>
  <c r="N40" i="7"/>
  <c r="O40" i="7"/>
  <c r="N34" i="7"/>
  <c r="O34" i="7"/>
  <c r="C37" i="7"/>
  <c r="N37" i="7" s="1"/>
  <c r="C17" i="3"/>
  <c r="C12" i="7" s="1"/>
  <c r="C21" i="7"/>
  <c r="C25" i="7"/>
  <c r="H17" i="3"/>
  <c r="H12" i="7" s="1"/>
  <c r="F23" i="7"/>
  <c r="I25" i="3"/>
  <c r="I13" i="7" s="1"/>
  <c r="I19" i="7" s="1"/>
  <c r="N41" i="7"/>
  <c r="O41" i="7"/>
  <c r="F21" i="7"/>
  <c r="F25" i="7"/>
  <c r="K25" i="7"/>
  <c r="K21" i="7"/>
  <c r="L25" i="7"/>
  <c r="L21" i="7"/>
  <c r="H25" i="3"/>
  <c r="H13" i="7" s="1"/>
  <c r="H19" i="7" s="1"/>
  <c r="F26" i="3"/>
  <c r="F14" i="7" s="1"/>
  <c r="N39" i="7"/>
  <c r="O39" i="7"/>
  <c r="G21" i="7"/>
  <c r="G25" i="7"/>
  <c r="O35" i="7"/>
  <c r="N35" i="7"/>
  <c r="O37" i="7"/>
  <c r="N11" i="7"/>
  <c r="O11" i="7"/>
  <c r="K26" i="3"/>
  <c r="K14" i="7" s="1"/>
  <c r="E13" i="7"/>
  <c r="E19" i="7" s="1"/>
  <c r="D25" i="7"/>
  <c r="D21" i="7"/>
  <c r="E21" i="7"/>
  <c r="E25" i="7"/>
  <c r="K31" i="3"/>
  <c r="K23" i="7" s="1"/>
  <c r="I31" i="3"/>
  <c r="I23" i="7" s="1"/>
  <c r="J31" i="3"/>
  <c r="M31" i="3"/>
  <c r="G29" i="3"/>
  <c r="F29" i="3"/>
  <c r="I29" i="3"/>
  <c r="G31" i="3"/>
  <c r="I26" i="3"/>
  <c r="I14" i="7" s="1"/>
  <c r="G26" i="3"/>
  <c r="G14" i="7" s="1"/>
  <c r="L31" i="3"/>
  <c r="L23" i="7" s="1"/>
  <c r="D31" i="3"/>
  <c r="D23" i="7" s="1"/>
  <c r="J29" i="3"/>
  <c r="E32" i="3"/>
  <c r="E15" i="7" s="1"/>
  <c r="E36" i="3"/>
  <c r="J32" i="3"/>
  <c r="J15" i="7" s="1"/>
  <c r="F32" i="3"/>
  <c r="F15" i="7" s="1"/>
  <c r="F36" i="3"/>
  <c r="M26" i="3"/>
  <c r="M29" i="3"/>
  <c r="I6" i="8" l="1"/>
  <c r="I10" i="8"/>
  <c r="I11" i="8"/>
  <c r="J11" i="8" s="1"/>
  <c r="I9" i="8"/>
  <c r="I8" i="8"/>
  <c r="I13" i="8"/>
  <c r="I12" i="8"/>
  <c r="J12" i="8" s="1"/>
  <c r="I7" i="8"/>
  <c r="J7" i="8" s="1"/>
  <c r="I5" i="8"/>
  <c r="D13" i="7"/>
  <c r="D19" i="7" s="1"/>
  <c r="D26" i="3"/>
  <c r="D14" i="7" s="1"/>
  <c r="H31" i="3"/>
  <c r="I4" i="8"/>
  <c r="I19" i="8" s="1"/>
  <c r="C31" i="3"/>
  <c r="H29" i="3"/>
  <c r="H26" i="3"/>
  <c r="H14" i="7" s="1"/>
  <c r="J5" i="8"/>
  <c r="I18" i="8"/>
  <c r="O25" i="7"/>
  <c r="N25" i="7"/>
  <c r="O21" i="7"/>
  <c r="N21" i="7"/>
  <c r="N14" i="7"/>
  <c r="O14" i="7"/>
  <c r="G23" i="7"/>
  <c r="J23" i="7"/>
  <c r="G36" i="3"/>
  <c r="G40" i="3" s="1"/>
  <c r="O12" i="7"/>
  <c r="N12" i="7"/>
  <c r="C19" i="7"/>
  <c r="O13" i="7"/>
  <c r="N13" i="7"/>
  <c r="N7" i="7"/>
  <c r="O7" i="7"/>
  <c r="N6" i="7"/>
  <c r="O6" i="7"/>
  <c r="I32" i="3"/>
  <c r="I15" i="7" s="1"/>
  <c r="I36" i="3"/>
  <c r="G32" i="3"/>
  <c r="G15" i="7" s="1"/>
  <c r="L32" i="3"/>
  <c r="L15" i="7" s="1"/>
  <c r="L36" i="3"/>
  <c r="K36" i="3"/>
  <c r="K40" i="3" s="1"/>
  <c r="K42" i="3" s="1"/>
  <c r="K22" i="7" s="1"/>
  <c r="K24" i="7" s="1"/>
  <c r="K32" i="3"/>
  <c r="K15" i="7" s="1"/>
  <c r="J36" i="3"/>
  <c r="D36" i="3"/>
  <c r="D40" i="3" s="1"/>
  <c r="D42" i="3" s="1"/>
  <c r="D22" i="7" s="1"/>
  <c r="D24" i="7" s="1"/>
  <c r="D32" i="3"/>
  <c r="D15" i="7" s="1"/>
  <c r="M32" i="3"/>
  <c r="G42" i="3"/>
  <c r="G22" i="7" s="1"/>
  <c r="E40" i="3"/>
  <c r="E42" i="3" s="1"/>
  <c r="E22" i="7" s="1"/>
  <c r="E24" i="7" s="1"/>
  <c r="J42" i="3"/>
  <c r="J22" i="7" s="1"/>
  <c r="J24" i="7" s="1"/>
  <c r="F42" i="3"/>
  <c r="F22" i="7" s="1"/>
  <c r="F24" i="7" s="1"/>
  <c r="F40" i="3"/>
  <c r="F37" i="3"/>
  <c r="I17" i="8" l="1"/>
  <c r="J18" i="8" s="1"/>
  <c r="C23" i="7"/>
  <c r="C32" i="3"/>
  <c r="C15" i="7" s="1"/>
  <c r="C36" i="3"/>
  <c r="H23" i="7"/>
  <c r="N23" i="7" s="1"/>
  <c r="H36" i="3"/>
  <c r="H32" i="3"/>
  <c r="H15" i="7" s="1"/>
  <c r="O15" i="7" s="1"/>
  <c r="J13" i="8"/>
  <c r="I20" i="8"/>
  <c r="J20" i="8" s="1"/>
  <c r="J8" i="8"/>
  <c r="I16" i="8"/>
  <c r="J17" i="8" s="1"/>
  <c r="J9" i="8"/>
  <c r="I14" i="8"/>
  <c r="J14" i="8" s="1"/>
  <c r="O8" i="7"/>
  <c r="G37" i="3"/>
  <c r="I15" i="8"/>
  <c r="J10" i="8"/>
  <c r="J6" i="8"/>
  <c r="J15" i="8"/>
  <c r="G24" i="7"/>
  <c r="J19" i="8"/>
  <c r="O23" i="7"/>
  <c r="K37" i="3"/>
  <c r="N19" i="7"/>
  <c r="O19" i="7"/>
  <c r="J16" i="8"/>
  <c r="D37" i="3"/>
  <c r="E37" i="3"/>
  <c r="M37" i="3"/>
  <c r="L40" i="3"/>
  <c r="L42" i="3" s="1"/>
  <c r="L22" i="7" s="1"/>
  <c r="L24" i="7" s="1"/>
  <c r="L37" i="3"/>
  <c r="J40" i="3"/>
  <c r="I42" i="3"/>
  <c r="I22" i="7" s="1"/>
  <c r="I24" i="7" s="1"/>
  <c r="I40" i="3"/>
  <c r="J37" i="3"/>
  <c r="N8" i="7" l="1"/>
  <c r="H42" i="3"/>
  <c r="H22" i="7" s="1"/>
  <c r="H24" i="7" s="1"/>
  <c r="I37" i="3"/>
  <c r="H37" i="3"/>
  <c r="H40" i="3"/>
  <c r="N4" i="8" a="1"/>
  <c r="C40" i="3"/>
  <c r="C42" i="3" s="1"/>
  <c r="C22" i="7" s="1"/>
  <c r="C24" i="7" s="1"/>
  <c r="O24" i="7" s="1"/>
  <c r="N15" i="7"/>
  <c r="N6" i="8" l="1"/>
  <c r="N10" i="8"/>
  <c r="O10" i="8" s="1"/>
  <c r="N7" i="8"/>
  <c r="O7" i="8" s="1"/>
  <c r="N13" i="8"/>
  <c r="N5" i="8"/>
  <c r="O5" i="8" s="1"/>
  <c r="N11" i="8"/>
  <c r="O11" i="8" s="1"/>
  <c r="N12" i="8"/>
  <c r="O12" i="8" s="1"/>
  <c r="N8" i="8"/>
  <c r="O8" i="8" s="1"/>
  <c r="N9" i="8"/>
  <c r="N4" i="8"/>
  <c r="N24" i="7"/>
  <c r="O22" i="7"/>
  <c r="N22" i="7"/>
  <c r="O13" i="8" l="1"/>
  <c r="N18" i="8"/>
  <c r="N15" i="8"/>
  <c r="N19" i="8"/>
  <c r="O19" i="8" s="1"/>
  <c r="N20" i="8"/>
  <c r="O20" i="8" s="1"/>
  <c r="N14" i="8"/>
  <c r="O14" i="8" s="1"/>
  <c r="N16" i="8"/>
  <c r="O16" i="8" s="1"/>
  <c r="N17" i="8"/>
  <c r="O9" i="8"/>
  <c r="O6" i="8"/>
  <c r="O17" i="8" l="1"/>
  <c r="O15" i="8"/>
  <c r="O18" i="8"/>
</calcChain>
</file>

<file path=xl/sharedStrings.xml><?xml version="1.0" encoding="utf-8"?>
<sst xmlns="http://schemas.openxmlformats.org/spreadsheetml/2006/main" count="384" uniqueCount="288">
  <si>
    <t>COMPANY NAME</t>
  </si>
  <si>
    <t>TATA MOTORS LTD</t>
  </si>
  <si>
    <t>LATEST VERSION</t>
  </si>
  <si>
    <t>PLEASE DO NOT MAKE ANY CHANGES TO THIS SHEET</t>
  </si>
  <si>
    <t>CURRENT VERSION</t>
  </si>
  <si>
    <t>META</t>
  </si>
  <si>
    <t>Number of shares</t>
  </si>
  <si>
    <t>Face Value</t>
  </si>
  <si>
    <t>Current Price</t>
  </si>
  <si>
    <t>Market Capitalization</t>
  </si>
  <si>
    <t>PROFIT &amp; LOSS</t>
  </si>
  <si>
    <t>Report Date</t>
  </si>
  <si>
    <t>Sales</t>
  </si>
  <si>
    <t>Raw Material Cost</t>
  </si>
  <si>
    <t>Change in Inventory</t>
  </si>
  <si>
    <t>Power and Fuel</t>
  </si>
  <si>
    <t>Other Mfr. Exp</t>
  </si>
  <si>
    <t>Employee Cost</t>
  </si>
  <si>
    <t>Selling and admin</t>
  </si>
  <si>
    <t>Other Expenses</t>
  </si>
  <si>
    <t>Other Income</t>
  </si>
  <si>
    <t>Depreciation</t>
  </si>
  <si>
    <t>Interest</t>
  </si>
  <si>
    <t>Profit before tax</t>
  </si>
  <si>
    <t>Tax</t>
  </si>
  <si>
    <t>Net profit</t>
  </si>
  <si>
    <t>Dividend Amount</t>
  </si>
  <si>
    <t>Quarters</t>
  </si>
  <si>
    <t>Expenses</t>
  </si>
  <si>
    <t>Operating Profit</t>
  </si>
  <si>
    <t>BALANCE SHEET</t>
  </si>
  <si>
    <t>Equity Share Capital</t>
  </si>
  <si>
    <t>Reserves</t>
  </si>
  <si>
    <t>Borrowings</t>
  </si>
  <si>
    <t>Other Liabilities</t>
  </si>
  <si>
    <t>Total</t>
  </si>
  <si>
    <t>Net Block</t>
  </si>
  <si>
    <t>Capital Work in Progress</t>
  </si>
  <si>
    <t>Investments</t>
  </si>
  <si>
    <t>Other Assets</t>
  </si>
  <si>
    <t>Receivables</t>
  </si>
  <si>
    <t>Inventory</t>
  </si>
  <si>
    <t>Cash &amp; Bank</t>
  </si>
  <si>
    <t>No. of Equity Shares</t>
  </si>
  <si>
    <t>New Bonus Shares</t>
  </si>
  <si>
    <t>Face value</t>
  </si>
  <si>
    <t>CASH FLOW:</t>
  </si>
  <si>
    <t>Cash from Operating Activity</t>
  </si>
  <si>
    <t>Cash from Investing Activity</t>
  </si>
  <si>
    <t>Cash from Financing Activity</t>
  </si>
  <si>
    <t>Net Cash Flow</t>
  </si>
  <si>
    <t>PRICE:</t>
  </si>
  <si>
    <t>DERIVED:</t>
  </si>
  <si>
    <t>Adjusted Equity Shares in Cr</t>
  </si>
  <si>
    <t>Years</t>
  </si>
  <si>
    <t>LTM</t>
  </si>
  <si>
    <t>#</t>
  </si>
  <si>
    <t>Income Statement</t>
  </si>
  <si>
    <t>-</t>
  </si>
  <si>
    <t>Sales Growth</t>
  </si>
  <si>
    <t>COGS</t>
  </si>
  <si>
    <t>COGS as % of Sales</t>
  </si>
  <si>
    <t xml:space="preserve">Gross Profit </t>
  </si>
  <si>
    <t>SG&amp;A and Other Expenses</t>
  </si>
  <si>
    <t>S%G expenses % of sales</t>
  </si>
  <si>
    <t>EBITDA</t>
  </si>
  <si>
    <t>EBITDA as % of sales</t>
  </si>
  <si>
    <t>interest</t>
  </si>
  <si>
    <t>interest as % of sales</t>
  </si>
  <si>
    <t>depreciation as % of sales</t>
  </si>
  <si>
    <t>EBT</t>
  </si>
  <si>
    <t>EBT as % of sales</t>
  </si>
  <si>
    <t>Taxes</t>
  </si>
  <si>
    <t>effevtive Tax rate</t>
  </si>
  <si>
    <t>Net Profit</t>
  </si>
  <si>
    <t>Net profit margin</t>
  </si>
  <si>
    <t>No. of Equity Share</t>
  </si>
  <si>
    <t>EPS</t>
  </si>
  <si>
    <t>Dividend per share</t>
  </si>
  <si>
    <t>EPS Growth %</t>
  </si>
  <si>
    <t xml:space="preserve">Dividend Payout Ratio </t>
  </si>
  <si>
    <t>Retained Earnings</t>
  </si>
  <si>
    <t>Balance Sheet</t>
  </si>
  <si>
    <t>Total Assets</t>
  </si>
  <si>
    <t>Total Liabilties</t>
  </si>
  <si>
    <t>Fixed assets net  Block</t>
  </si>
  <si>
    <t>Total non-current assets</t>
  </si>
  <si>
    <t xml:space="preserve">Total current assets </t>
  </si>
  <si>
    <t>Check</t>
  </si>
  <si>
    <t>Profit from operations</t>
  </si>
  <si>
    <t>Payables</t>
  </si>
  <si>
    <t>Loans Advances</t>
  </si>
  <si>
    <t>Other WC items</t>
  </si>
  <si>
    <t>Working capital changes</t>
  </si>
  <si>
    <t>Direct taxes</t>
  </si>
  <si>
    <t>Fixed assets purchased</t>
  </si>
  <si>
    <t>Fixed assets sold</t>
  </si>
  <si>
    <t>Investments purchased</t>
  </si>
  <si>
    <t>Investments sold</t>
  </si>
  <si>
    <t>Interest received</t>
  </si>
  <si>
    <t>Dividends received</t>
  </si>
  <si>
    <t>Investment in group cos</t>
  </si>
  <si>
    <t>Redemp n Canc of Shares</t>
  </si>
  <si>
    <t>Acquisition of companies</t>
  </si>
  <si>
    <t>Inter corporate deposits</t>
  </si>
  <si>
    <t>Other investing items</t>
  </si>
  <si>
    <t>Proceeds from shares</t>
  </si>
  <si>
    <t>Redemption of debentures</t>
  </si>
  <si>
    <t>Proceeds from borrowings</t>
  </si>
  <si>
    <t>Repayment of borrowings</t>
  </si>
  <si>
    <t>Interest paid fin</t>
  </si>
  <si>
    <t>Dividends paid</t>
  </si>
  <si>
    <t>Financial liabilities</t>
  </si>
  <si>
    <t>Other financing items</t>
  </si>
  <si>
    <t>Cash from Operating Activity -</t>
  </si>
  <si>
    <t>Cash from Investing Activity -</t>
  </si>
  <si>
    <t>Cash from Financing Activity -</t>
  </si>
  <si>
    <t>Cash Flow Statement</t>
  </si>
  <si>
    <t>Operating Activities</t>
  </si>
  <si>
    <t xml:space="preserve">Cash from Operating Activity </t>
  </si>
  <si>
    <t xml:space="preserve">Cash from Investing Activity </t>
  </si>
  <si>
    <t xml:space="preserve">Investing Activities </t>
  </si>
  <si>
    <t>Financing Activities</t>
  </si>
  <si>
    <t>net Cash Flow</t>
  </si>
  <si>
    <t>EBITDA growth</t>
  </si>
  <si>
    <t>Net profit growth</t>
  </si>
  <si>
    <t>Dividend growth</t>
  </si>
  <si>
    <t>EBT growth</t>
  </si>
  <si>
    <t>Gross Margin</t>
  </si>
  <si>
    <t>Gross margin</t>
  </si>
  <si>
    <t>EBITDA margin</t>
  </si>
  <si>
    <t xml:space="preserve">EBT margin </t>
  </si>
  <si>
    <t>EBIT margin</t>
  </si>
  <si>
    <t>net profit margin</t>
  </si>
  <si>
    <t>SalesExpenses%Sales</t>
  </si>
  <si>
    <t>Depreciation%Sales</t>
  </si>
  <si>
    <t>OperatingIncome%Sales</t>
  </si>
  <si>
    <t>Return on Capital Employed</t>
  </si>
  <si>
    <t>Retained Earnings %</t>
  </si>
  <si>
    <t>Return on Equity %</t>
  </si>
  <si>
    <t>Self Sustained growth Rate</t>
  </si>
  <si>
    <t>Interest Coverage Ratio</t>
  </si>
  <si>
    <t xml:space="preserve">Debtor Turnover ratio </t>
  </si>
  <si>
    <t>Creditor Turnover ratio</t>
  </si>
  <si>
    <t>Inventory Turnover ratio</t>
  </si>
  <si>
    <t>Fixed asset Turnover ratio</t>
  </si>
  <si>
    <t>Capital Turnover ratio</t>
  </si>
  <si>
    <t>Creditor days</t>
  </si>
  <si>
    <t>Inventory days</t>
  </si>
  <si>
    <t>Debtor days</t>
  </si>
  <si>
    <t>Cash Conversion Cycle</t>
  </si>
  <si>
    <t>(in days)</t>
  </si>
  <si>
    <t>CFO/Sales</t>
  </si>
  <si>
    <t>CFO/Total Assets</t>
  </si>
  <si>
    <t>CFO/Total Debt</t>
  </si>
  <si>
    <t>Mean</t>
  </si>
  <si>
    <t>Median</t>
  </si>
  <si>
    <t>Year Weight</t>
  </si>
  <si>
    <t>Year</t>
  </si>
  <si>
    <t>FINANCIALS ---&gt;</t>
  </si>
  <si>
    <t>working capital changes -</t>
  </si>
  <si>
    <t xml:space="preserve"> </t>
  </si>
  <si>
    <t>INTRINSIC GROWTH</t>
  </si>
  <si>
    <t>ROIC</t>
  </si>
  <si>
    <t>Calculating ROIC</t>
  </si>
  <si>
    <t>current assets</t>
  </si>
  <si>
    <t>Raw Cash Flow</t>
  </si>
  <si>
    <t>Raw BS</t>
  </si>
  <si>
    <t>Equity Capital</t>
  </si>
  <si>
    <t>Other Liabilities -</t>
  </si>
  <si>
    <t>Non controlling int</t>
  </si>
  <si>
    <t>Trade Payables</t>
  </si>
  <si>
    <t>Advance from Customers</t>
  </si>
  <si>
    <t>Other liability items</t>
  </si>
  <si>
    <t>Total Liabilities</t>
  </si>
  <si>
    <t>Fixed Assets -</t>
  </si>
  <si>
    <t>Land</t>
  </si>
  <si>
    <t>Building</t>
  </si>
  <si>
    <t>Plant Machinery</t>
  </si>
  <si>
    <t>Equipments</t>
  </si>
  <si>
    <t>Computers</t>
  </si>
  <si>
    <t>Furniture n fittings</t>
  </si>
  <si>
    <t>Vehicles</t>
  </si>
  <si>
    <t>Intangible Assets</t>
  </si>
  <si>
    <t>Other fixed assets</t>
  </si>
  <si>
    <t>Gross Block</t>
  </si>
  <si>
    <t>Accumulated Depreciation</t>
  </si>
  <si>
    <t>CWIP</t>
  </si>
  <si>
    <t>Other Assets -</t>
  </si>
  <si>
    <t>Inventories</t>
  </si>
  <si>
    <t>Trade receivables +</t>
  </si>
  <si>
    <t>Cash Equivalents</t>
  </si>
  <si>
    <t>Loans n Advances</t>
  </si>
  <si>
    <t>Other asset items</t>
  </si>
  <si>
    <t xml:space="preserve">Borrowings </t>
  </si>
  <si>
    <t>Total Current Assets</t>
  </si>
  <si>
    <t>Total Non-Cash Current assets</t>
  </si>
  <si>
    <t>current Liabilities</t>
  </si>
  <si>
    <t>Total Current Liabilities</t>
  </si>
  <si>
    <t xml:space="preserve">Net Working Capital </t>
  </si>
  <si>
    <t>Non-Current Assets</t>
  </si>
  <si>
    <t>Net Non-Current Assets</t>
  </si>
  <si>
    <t xml:space="preserve">Invested Capital </t>
  </si>
  <si>
    <t>EBIT</t>
  </si>
  <si>
    <t>Marginal Tax Rate</t>
  </si>
  <si>
    <t>NOPAT</t>
  </si>
  <si>
    <t>Calculating Reinvestment Rate</t>
  </si>
  <si>
    <t>Net Capex</t>
  </si>
  <si>
    <t>Change in working Capital</t>
  </si>
  <si>
    <t>Reinvestment</t>
  </si>
  <si>
    <t>Reinvestment rate</t>
  </si>
  <si>
    <t>FCFF</t>
  </si>
  <si>
    <t>Crores in INR</t>
  </si>
  <si>
    <t>add Back D&amp;A</t>
  </si>
  <si>
    <t>Gross Cash Flow</t>
  </si>
  <si>
    <t>Change in Working Capital</t>
  </si>
  <si>
    <t>DCF Valuation</t>
  </si>
  <si>
    <t>WACC</t>
  </si>
  <si>
    <t>g</t>
  </si>
  <si>
    <t>Discount Factor</t>
  </si>
  <si>
    <t>Present Value of FCFF</t>
  </si>
  <si>
    <t>DCF VALUATION</t>
  </si>
  <si>
    <t>PV of Cash Flows</t>
  </si>
  <si>
    <t>Continuing Value</t>
  </si>
  <si>
    <t>PV of Continuing Value</t>
  </si>
  <si>
    <t>Enterprise Value</t>
  </si>
  <si>
    <t>() Financial Liabilities</t>
  </si>
  <si>
    <t>Cash</t>
  </si>
  <si>
    <t>Equity Value</t>
  </si>
  <si>
    <t>No. of Outstanding Shares</t>
  </si>
  <si>
    <t>Price per share</t>
  </si>
  <si>
    <t>Current stock price</t>
  </si>
  <si>
    <t xml:space="preserve">Stock undervalued By </t>
  </si>
  <si>
    <t>(as of 30th May 2025)</t>
  </si>
  <si>
    <t>Weighted Average Cost of Capital</t>
  </si>
  <si>
    <t>All figures are in INR unless stated otherwise</t>
  </si>
  <si>
    <t>Peer Comps</t>
  </si>
  <si>
    <t xml:space="preserve">Debt / </t>
  </si>
  <si>
    <t xml:space="preserve">Levered </t>
  </si>
  <si>
    <t xml:space="preserve">Unlevered </t>
  </si>
  <si>
    <t>Name of the Comp</t>
  </si>
  <si>
    <t>Country</t>
  </si>
  <si>
    <t>Total Debt</t>
  </si>
  <si>
    <t>Total Equity</t>
  </si>
  <si>
    <r>
      <t xml:space="preserve">Tax Rate </t>
    </r>
    <r>
      <rPr>
        <vertAlign val="superscript"/>
        <sz val="11"/>
        <color theme="1"/>
        <rFont val="Calibri"/>
        <family val="2"/>
      </rPr>
      <t>1</t>
    </r>
  </si>
  <si>
    <t>Equity</t>
  </si>
  <si>
    <t xml:space="preserve">Capital </t>
  </si>
  <si>
    <r>
      <t xml:space="preserve">Beta </t>
    </r>
    <r>
      <rPr>
        <vertAlign val="superscript"/>
        <sz val="11"/>
        <color theme="1"/>
        <rFont val="Calibri"/>
        <family val="2"/>
      </rPr>
      <t>2</t>
    </r>
  </si>
  <si>
    <r>
      <t xml:space="preserve">Beta </t>
    </r>
    <r>
      <rPr>
        <vertAlign val="superscript"/>
        <sz val="11"/>
        <color theme="1"/>
        <rFont val="Calibri"/>
        <family val="2"/>
      </rPr>
      <t>3</t>
    </r>
  </si>
  <si>
    <t>Tata Motors</t>
  </si>
  <si>
    <t>India</t>
  </si>
  <si>
    <t>Maruti Suzuki</t>
  </si>
  <si>
    <t>M &amp; M</t>
  </si>
  <si>
    <t>Bajaj Auto</t>
  </si>
  <si>
    <t>Hyundai Motor I</t>
  </si>
  <si>
    <t>Average</t>
  </si>
  <si>
    <t>Cost of Debt</t>
  </si>
  <si>
    <t>Cost of Equity</t>
  </si>
  <si>
    <r>
      <t xml:space="preserve">Pre tax cost of Debt </t>
    </r>
    <r>
      <rPr>
        <vertAlign val="superscript"/>
        <sz val="11"/>
        <color theme="1"/>
        <rFont val="Calibri"/>
        <family val="2"/>
      </rPr>
      <t>5</t>
    </r>
  </si>
  <si>
    <r>
      <t xml:space="preserve">Risk-Free Rate </t>
    </r>
    <r>
      <rPr>
        <vertAlign val="superscript"/>
        <sz val="11"/>
        <color theme="1"/>
        <rFont val="Calibri"/>
        <family val="2"/>
      </rPr>
      <t>6</t>
    </r>
  </si>
  <si>
    <t>tax Rate</t>
  </si>
  <si>
    <r>
      <t xml:space="preserve">Market Risk Premium </t>
    </r>
    <r>
      <rPr>
        <vertAlign val="superscript"/>
        <sz val="11"/>
        <color theme="1"/>
        <rFont val="Calibri"/>
        <family val="2"/>
      </rPr>
      <t>7</t>
    </r>
  </si>
  <si>
    <t>Post Tax cost of Debt</t>
  </si>
  <si>
    <r>
      <t xml:space="preserve">Levered Beta </t>
    </r>
    <r>
      <rPr>
        <vertAlign val="superscript"/>
        <sz val="11"/>
        <color theme="1"/>
        <rFont val="Calibri"/>
        <family val="2"/>
      </rPr>
      <t>4</t>
    </r>
  </si>
  <si>
    <t>cost of equity</t>
  </si>
  <si>
    <t>Capital structure</t>
  </si>
  <si>
    <t>Levered Beta</t>
  </si>
  <si>
    <t>Current</t>
  </si>
  <si>
    <t>Target</t>
  </si>
  <si>
    <t>comps Median Unlevered Beta</t>
  </si>
  <si>
    <t>Target Debt/Equity</t>
  </si>
  <si>
    <t xml:space="preserve">Total Capital </t>
  </si>
  <si>
    <t>Tax rate</t>
  </si>
  <si>
    <t xml:space="preserve">Debt / Equity </t>
  </si>
  <si>
    <t>Total cost</t>
  </si>
  <si>
    <t>Total Weight</t>
  </si>
  <si>
    <t>Debt</t>
  </si>
  <si>
    <t xml:space="preserve">Weighted average Cost of Capital </t>
  </si>
  <si>
    <t>Notes</t>
  </si>
  <si>
    <t>1. Tax Rate Considered as Marginal Tax Rate of the country</t>
  </si>
  <si>
    <t>2. Levered Beta is based on 5 year monthly data</t>
  </si>
  <si>
    <t>3. Unlevered Beta = Levered Beta / (1+ (1- Tax rate ) * ( debt / Equity ))</t>
  </si>
  <si>
    <t>4. Levered Beta = Unlevered Beta * (1+ (1- Tax rate ) * ( debt / Equity ))</t>
  </si>
  <si>
    <t xml:space="preserve">5. cost of debt  ( hind. Unilever ) = risk-free rate ( india ) + country risk Premium + company default spread ( Hind. Unilever) </t>
  </si>
  <si>
    <t xml:space="preserve">6. Risk-free rate ( india ) = Soveriegn Bond Yeild - Default spread ( india )  </t>
  </si>
  <si>
    <t xml:space="preserve">7. Equity Risk Premium Taken from - </t>
  </si>
  <si>
    <t>https://pages.stern.nyu.edu/~adamodar/</t>
  </si>
  <si>
    <t>Data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</si>
</sst>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_ * #,##0.00_ ;_ * \-#,##0.00_ ;_ * &quot;-&quot;??_ ;_ @_ "/>
    <numFmt numFmtId="165" formatCode="[$-409]mmm\-yy;@"/>
    <numFmt numFmtId="166" formatCode="\₹\ ###,##0.0;\(\₹\ #,##0.0\);\-"/>
    <numFmt numFmtId="167" formatCode="0.00&quot;x&quot;"/>
    <numFmt numFmtId="168" formatCode="yyyy&quot;A&quot;"/>
    <numFmt numFmtId="169" formatCode="yyyy&quot;E&quot;"/>
    <numFmt numFmtId="170" formatCode="#,##0.0_);\(#,##0.0\)"/>
    <numFmt numFmtId="171" formatCode="#,##0.0;\(#,##0.0\);\-"/>
    <numFmt numFmtId="172" formatCode="[$₹-4009]\ #,##0.0;\([$₹-4009]\ #,##0.0\);\-"/>
    <numFmt numFmtId="174" formatCode="#,##0.0&quot; crores&quot;;\(#,##0.0\);\-&quot; crores&quot;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25"/>
      <color rgb="FF00206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vertAlign val="superscript"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i/>
      <u/>
      <sz val="9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275D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 style="thick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</cellStyleXfs>
  <cellXfs count="143">
    <xf numFmtId="0" fontId="0" fillId="0" borderId="0" xfId="0"/>
    <xf numFmtId="164" fontId="3" fillId="0" borderId="0" xfId="1" applyFont="1" applyBorder="1"/>
    <xf numFmtId="164" fontId="0" fillId="0" borderId="0" xfId="1" applyFont="1" applyBorder="1"/>
    <xf numFmtId="165" fontId="2" fillId="3" borderId="0" xfId="1" applyNumberFormat="1" applyFont="1" applyFill="1" applyBorder="1"/>
    <xf numFmtId="165" fontId="2" fillId="3" borderId="0" xfId="0" applyNumberFormat="1" applyFont="1" applyFill="1" applyBorder="1" applyAlignment="1">
      <alignment horizontal="center"/>
    </xf>
    <xf numFmtId="165" fontId="6" fillId="0" borderId="0" xfId="1" applyNumberFormat="1" applyFont="1" applyFill="1" applyBorder="1"/>
    <xf numFmtId="164" fontId="1" fillId="0" borderId="0" xfId="1" applyFont="1" applyBorder="1"/>
    <xf numFmtId="43" fontId="0" fillId="0" borderId="0" xfId="1" applyNumberFormat="1" applyFont="1" applyBorder="1"/>
    <xf numFmtId="0" fontId="0" fillId="4" borderId="0" xfId="0" applyFill="1"/>
    <xf numFmtId="0" fontId="2" fillId="5" borderId="0" xfId="0" applyFont="1" applyFill="1"/>
    <xf numFmtId="17" fontId="2" fillId="5" borderId="0" xfId="0" applyNumberFormat="1" applyFont="1" applyFill="1" applyAlignment="1">
      <alignment horizontal="right"/>
    </xf>
    <xf numFmtId="0" fontId="3" fillId="4" borderId="0" xfId="0" applyFont="1" applyFill="1"/>
    <xf numFmtId="166" fontId="0" fillId="4" borderId="0" xfId="0" applyNumberFormat="1" applyFill="1"/>
    <xf numFmtId="0" fontId="0" fillId="4" borderId="0" xfId="0" applyFill="1" applyAlignment="1">
      <alignment horizontal="right"/>
    </xf>
    <xf numFmtId="10" fontId="0" fillId="4" borderId="0" xfId="2" applyNumberFormat="1" applyFont="1" applyFill="1"/>
    <xf numFmtId="10" fontId="7" fillId="4" borderId="0" xfId="2" applyNumberFormat="1" applyFont="1" applyFill="1"/>
    <xf numFmtId="0" fontId="7" fillId="4" borderId="0" xfId="0" applyFont="1" applyFill="1"/>
    <xf numFmtId="0" fontId="3" fillId="7" borderId="0" xfId="0" applyFont="1" applyFill="1"/>
    <xf numFmtId="0" fontId="0" fillId="7" borderId="0" xfId="0" applyFill="1"/>
    <xf numFmtId="166" fontId="3" fillId="4" borderId="0" xfId="0" applyNumberFormat="1" applyFont="1" applyFill="1"/>
    <xf numFmtId="0" fontId="3" fillId="4" borderId="1" xfId="0" applyFont="1" applyFill="1" applyBorder="1"/>
    <xf numFmtId="166" fontId="3" fillId="4" borderId="1" xfId="0" applyNumberFormat="1" applyFont="1" applyFill="1" applyBorder="1"/>
    <xf numFmtId="0" fontId="0" fillId="4" borderId="1" xfId="0" applyFill="1" applyBorder="1"/>
    <xf numFmtId="0" fontId="3" fillId="4" borderId="2" xfId="0" applyFont="1" applyFill="1" applyBorder="1"/>
    <xf numFmtId="166" fontId="3" fillId="4" borderId="2" xfId="0" applyNumberFormat="1" applyFont="1" applyFill="1" applyBorder="1"/>
    <xf numFmtId="0" fontId="0" fillId="4" borderId="0" xfId="0" applyFill="1" applyAlignment="1">
      <alignment wrapText="1"/>
    </xf>
    <xf numFmtId="167" fontId="0" fillId="4" borderId="0" xfId="0" applyNumberFormat="1" applyFill="1"/>
    <xf numFmtId="0" fontId="2" fillId="5" borderId="0" xfId="0" applyNumberFormat="1" applyFont="1" applyFill="1" applyAlignment="1">
      <alignment horizontal="right"/>
    </xf>
    <xf numFmtId="0" fontId="0" fillId="4" borderId="3" xfId="0" applyFill="1" applyBorder="1"/>
    <xf numFmtId="10" fontId="0" fillId="4" borderId="3" xfId="2" applyNumberFormat="1" applyFont="1" applyFill="1" applyBorder="1" applyAlignment="1">
      <alignment horizontal="right"/>
    </xf>
    <xf numFmtId="10" fontId="0" fillId="4" borderId="3" xfId="2" applyNumberFormat="1" applyFont="1" applyFill="1" applyBorder="1"/>
    <xf numFmtId="0" fontId="0" fillId="4" borderId="0" xfId="0" applyFill="1" applyBorder="1"/>
    <xf numFmtId="10" fontId="0" fillId="4" borderId="0" xfId="2" applyNumberFormat="1" applyFont="1" applyFill="1" applyBorder="1"/>
    <xf numFmtId="0" fontId="0" fillId="4" borderId="4" xfId="0" applyFill="1" applyBorder="1"/>
    <xf numFmtId="10" fontId="0" fillId="4" borderId="4" xfId="2" applyNumberFormat="1" applyFont="1" applyFill="1" applyBorder="1"/>
    <xf numFmtId="10" fontId="0" fillId="4" borderId="4" xfId="0" applyNumberFormat="1" applyFill="1" applyBorder="1"/>
    <xf numFmtId="10" fontId="0" fillId="4" borderId="3" xfId="0" applyNumberFormat="1" applyFill="1" applyBorder="1"/>
    <xf numFmtId="10" fontId="0" fillId="4" borderId="0" xfId="0" applyNumberFormat="1" applyFill="1" applyBorder="1"/>
    <xf numFmtId="167" fontId="0" fillId="4" borderId="4" xfId="0" applyNumberFormat="1" applyFill="1" applyBorder="1"/>
    <xf numFmtId="167" fontId="0" fillId="4" borderId="3" xfId="0" applyNumberFormat="1" applyFill="1" applyBorder="1"/>
    <xf numFmtId="167" fontId="0" fillId="4" borderId="0" xfId="0" applyNumberFormat="1" applyFill="1" applyBorder="1"/>
    <xf numFmtId="0" fontId="8" fillId="4" borderId="3" xfId="0" applyFont="1" applyFill="1" applyBorder="1"/>
    <xf numFmtId="1" fontId="0" fillId="4" borderId="0" xfId="0" applyNumberFormat="1" applyFill="1" applyBorder="1"/>
    <xf numFmtId="1" fontId="0" fillId="4" borderId="0" xfId="2" applyNumberFormat="1" applyFont="1" applyFill="1" applyBorder="1"/>
    <xf numFmtId="1" fontId="0" fillId="4" borderId="4" xfId="0" applyNumberFormat="1" applyFill="1" applyBorder="1"/>
    <xf numFmtId="1" fontId="0" fillId="4" borderId="4" xfId="2" applyNumberFormat="1" applyFont="1" applyFill="1" applyBorder="1"/>
    <xf numFmtId="0" fontId="2" fillId="5" borderId="0" xfId="0" applyFont="1" applyFill="1" applyAlignment="1">
      <alignment horizontal="right"/>
    </xf>
    <xf numFmtId="0" fontId="0" fillId="4" borderId="0" xfId="0" applyFill="1" applyAlignment="1">
      <alignment horizontal="left"/>
    </xf>
    <xf numFmtId="168" fontId="0" fillId="4" borderId="0" xfId="0" applyNumberFormat="1" applyFill="1"/>
    <xf numFmtId="0" fontId="0" fillId="6" borderId="0" xfId="0" applyFill="1" applyAlignment="1">
      <alignment horizontal="left"/>
    </xf>
    <xf numFmtId="169" fontId="0" fillId="6" borderId="0" xfId="0" applyNumberFormat="1" applyFill="1"/>
    <xf numFmtId="166" fontId="0" fillId="6" borderId="0" xfId="0" applyNumberFormat="1" applyFill="1"/>
    <xf numFmtId="10" fontId="0" fillId="6" borderId="0" xfId="2" applyNumberFormat="1" applyFont="1" applyFill="1"/>
    <xf numFmtId="0" fontId="9" fillId="4" borderId="0" xfId="0" applyFont="1" applyFill="1"/>
    <xf numFmtId="0" fontId="10" fillId="4" borderId="0" xfId="0" applyFont="1" applyFill="1"/>
    <xf numFmtId="0" fontId="11" fillId="4" borderId="0" xfId="0" applyFont="1" applyFill="1"/>
    <xf numFmtId="3" fontId="0" fillId="4" borderId="0" xfId="0" applyNumberFormat="1" applyFill="1"/>
    <xf numFmtId="0" fontId="3" fillId="4" borderId="5" xfId="0" applyFont="1" applyFill="1" applyBorder="1"/>
    <xf numFmtId="0" fontId="3" fillId="4" borderId="6" xfId="0" applyFont="1" applyFill="1" applyBorder="1"/>
    <xf numFmtId="17" fontId="3" fillId="4" borderId="6" xfId="0" applyNumberFormat="1" applyFont="1" applyFill="1" applyBorder="1"/>
    <xf numFmtId="17" fontId="3" fillId="9" borderId="6" xfId="0" applyNumberFormat="1" applyFont="1" applyFill="1" applyBorder="1"/>
    <xf numFmtId="3" fontId="0" fillId="9" borderId="0" xfId="0" applyNumberFormat="1" applyFill="1"/>
    <xf numFmtId="0" fontId="0" fillId="9" borderId="0" xfId="0" applyFill="1"/>
    <xf numFmtId="17" fontId="2" fillId="4" borderId="0" xfId="0" applyNumberFormat="1" applyFont="1" applyFill="1" applyAlignment="1">
      <alignment horizontal="right"/>
    </xf>
    <xf numFmtId="9" fontId="0" fillId="4" borderId="0" xfId="2" applyFont="1" applyFill="1"/>
    <xf numFmtId="0" fontId="0" fillId="5" borderId="0" xfId="0" applyFill="1"/>
    <xf numFmtId="0" fontId="13" fillId="5" borderId="0" xfId="0" applyFont="1" applyFill="1"/>
    <xf numFmtId="171" fontId="0" fillId="4" borderId="0" xfId="0" applyNumberFormat="1" applyFill="1"/>
    <xf numFmtId="171" fontId="0" fillId="4" borderId="0" xfId="2" applyNumberFormat="1" applyFont="1" applyFill="1"/>
    <xf numFmtId="171" fontId="0" fillId="4" borderId="7" xfId="0" applyNumberFormat="1" applyFill="1" applyBorder="1"/>
    <xf numFmtId="171" fontId="0" fillId="4" borderId="6" xfId="0" applyNumberFormat="1" applyFill="1" applyBorder="1"/>
    <xf numFmtId="0" fontId="3" fillId="4" borderId="8" xfId="0" applyFont="1" applyFill="1" applyBorder="1"/>
    <xf numFmtId="171" fontId="0" fillId="4" borderId="8" xfId="0" applyNumberFormat="1" applyFill="1" applyBorder="1"/>
    <xf numFmtId="171" fontId="0" fillId="4" borderId="5" xfId="0" applyNumberFormat="1" applyFill="1" applyBorder="1"/>
    <xf numFmtId="171" fontId="0" fillId="4" borderId="5" xfId="2" applyNumberFormat="1" applyFont="1" applyFill="1" applyBorder="1"/>
    <xf numFmtId="171" fontId="0" fillId="9" borderId="0" xfId="0" applyNumberFormat="1" applyFill="1"/>
    <xf numFmtId="171" fontId="0" fillId="9" borderId="5" xfId="0" applyNumberFormat="1" applyFill="1" applyBorder="1"/>
    <xf numFmtId="171" fontId="0" fillId="9" borderId="8" xfId="0" applyNumberFormat="1" applyFill="1" applyBorder="1"/>
    <xf numFmtId="171" fontId="0" fillId="9" borderId="6" xfId="0" applyNumberFormat="1" applyFill="1" applyBorder="1"/>
    <xf numFmtId="0" fontId="0" fillId="6" borderId="0" xfId="0" applyFill="1"/>
    <xf numFmtId="171" fontId="3" fillId="4" borderId="6" xfId="0" applyNumberFormat="1" applyFont="1" applyFill="1" applyBorder="1"/>
    <xf numFmtId="171" fontId="3" fillId="4" borderId="0" xfId="0" applyNumberFormat="1" applyFont="1" applyFill="1"/>
    <xf numFmtId="171" fontId="3" fillId="4" borderId="5" xfId="0" applyNumberFormat="1" applyFont="1" applyFill="1" applyBorder="1"/>
    <xf numFmtId="170" fontId="3" fillId="4" borderId="6" xfId="0" applyNumberFormat="1" applyFont="1" applyFill="1" applyBorder="1"/>
    <xf numFmtId="171" fontId="3" fillId="4" borderId="8" xfId="0" applyNumberFormat="1" applyFont="1" applyFill="1" applyBorder="1"/>
    <xf numFmtId="170" fontId="3" fillId="4" borderId="5" xfId="0" applyNumberFormat="1" applyFont="1" applyFill="1" applyBorder="1"/>
    <xf numFmtId="10" fontId="14" fillId="4" borderId="0" xfId="2" applyNumberFormat="1" applyFont="1" applyFill="1"/>
    <xf numFmtId="10" fontId="3" fillId="4" borderId="5" xfId="2" applyNumberFormat="1" applyFont="1" applyFill="1" applyBorder="1"/>
    <xf numFmtId="171" fontId="3" fillId="4" borderId="1" xfId="0" applyNumberFormat="1" applyFont="1" applyFill="1" applyBorder="1"/>
    <xf numFmtId="10" fontId="0" fillId="4" borderId="0" xfId="0" applyNumberFormat="1" applyFill="1"/>
    <xf numFmtId="171" fontId="0" fillId="6" borderId="0" xfId="0" applyNumberFormat="1" applyFill="1"/>
    <xf numFmtId="10" fontId="14" fillId="6" borderId="0" xfId="2" applyNumberFormat="1" applyFont="1" applyFill="1"/>
    <xf numFmtId="171" fontId="3" fillId="6" borderId="1" xfId="0" applyNumberFormat="1" applyFont="1" applyFill="1" applyBorder="1"/>
    <xf numFmtId="171" fontId="3" fillId="6" borderId="5" xfId="0" applyNumberFormat="1" applyFont="1" applyFill="1" applyBorder="1"/>
    <xf numFmtId="2" fontId="0" fillId="4" borderId="0" xfId="0" applyNumberFormat="1" applyFill="1"/>
    <xf numFmtId="0" fontId="0" fillId="4" borderId="7" xfId="0" applyFill="1" applyBorder="1"/>
    <xf numFmtId="0" fontId="3" fillId="6" borderId="0" xfId="0" applyFont="1" applyFill="1"/>
    <xf numFmtId="2" fontId="0" fillId="6" borderId="7" xfId="0" applyNumberFormat="1" applyFill="1" applyBorder="1"/>
    <xf numFmtId="171" fontId="9" fillId="6" borderId="0" xfId="0" applyNumberFormat="1" applyFont="1" applyFill="1"/>
    <xf numFmtId="0" fontId="3" fillId="4" borderId="9" xfId="0" applyFont="1" applyFill="1" applyBorder="1"/>
    <xf numFmtId="171" fontId="3" fillId="4" borderId="9" xfId="0" applyNumberFormat="1" applyFont="1" applyFill="1" applyBorder="1"/>
    <xf numFmtId="0" fontId="3" fillId="4" borderId="10" xfId="0" applyFont="1" applyFill="1" applyBorder="1"/>
    <xf numFmtId="171" fontId="3" fillId="4" borderId="10" xfId="0" applyNumberFormat="1" applyFont="1" applyFill="1" applyBorder="1"/>
    <xf numFmtId="171" fontId="2" fillId="5" borderId="0" xfId="0" applyNumberFormat="1" applyFont="1" applyFill="1"/>
    <xf numFmtId="0" fontId="3" fillId="10" borderId="0" xfId="0" applyFont="1" applyFill="1"/>
    <xf numFmtId="10" fontId="3" fillId="10" borderId="0" xfId="2" applyNumberFormat="1" applyFont="1" applyFill="1"/>
    <xf numFmtId="0" fontId="15" fillId="4" borderId="0" xfId="0" applyFont="1" applyFill="1"/>
    <xf numFmtId="0" fontId="16" fillId="4" borderId="0" xfId="0" applyFont="1" applyFill="1"/>
    <xf numFmtId="0" fontId="3" fillId="4" borderId="11" xfId="0" applyFont="1" applyFill="1" applyBorder="1"/>
    <xf numFmtId="0" fontId="3" fillId="4" borderId="13" xfId="0" applyFont="1" applyFill="1" applyBorder="1"/>
    <xf numFmtId="10" fontId="2" fillId="5" borderId="12" xfId="0" applyNumberFormat="1" applyFont="1" applyFill="1" applyBorder="1"/>
    <xf numFmtId="9" fontId="17" fillId="5" borderId="14" xfId="0" applyNumberFormat="1" applyFont="1" applyFill="1" applyBorder="1"/>
    <xf numFmtId="0" fontId="12" fillId="7" borderId="0" xfId="0" applyFont="1" applyFill="1"/>
    <xf numFmtId="0" fontId="0" fillId="4" borderId="8" xfId="0" applyFill="1" applyBorder="1"/>
    <xf numFmtId="0" fontId="14" fillId="4" borderId="0" xfId="0" applyFont="1" applyFill="1"/>
    <xf numFmtId="172" fontId="14" fillId="4" borderId="0" xfId="0" applyNumberFormat="1" applyFont="1" applyFill="1"/>
    <xf numFmtId="10" fontId="0" fillId="8" borderId="0" xfId="2" applyNumberFormat="1" applyFont="1" applyFill="1"/>
    <xf numFmtId="170" fontId="14" fillId="4" borderId="0" xfId="0" applyNumberFormat="1" applyFont="1" applyFill="1"/>
    <xf numFmtId="2" fontId="0" fillId="8" borderId="0" xfId="0" applyNumberFormat="1" applyFill="1"/>
    <xf numFmtId="0" fontId="3" fillId="4" borderId="15" xfId="0" applyFont="1" applyFill="1" applyBorder="1"/>
    <xf numFmtId="10" fontId="0" fillId="4" borderId="15" xfId="0" applyNumberFormat="1" applyFill="1" applyBorder="1"/>
    <xf numFmtId="10" fontId="0" fillId="8" borderId="15" xfId="2" applyNumberFormat="1" applyFont="1" applyFill="1" applyBorder="1"/>
    <xf numFmtId="2" fontId="0" fillId="4" borderId="15" xfId="0" applyNumberFormat="1" applyFont="1" applyFill="1" applyBorder="1"/>
    <xf numFmtId="2" fontId="0" fillId="8" borderId="15" xfId="0" applyNumberFormat="1" applyFill="1" applyBorder="1"/>
    <xf numFmtId="0" fontId="3" fillId="4" borderId="16" xfId="0" applyFont="1" applyFill="1" applyBorder="1"/>
    <xf numFmtId="10" fontId="0" fillId="4" borderId="16" xfId="0" applyNumberFormat="1" applyFill="1" applyBorder="1"/>
    <xf numFmtId="10" fontId="0" fillId="8" borderId="16" xfId="2" applyNumberFormat="1" applyFont="1" applyFill="1" applyBorder="1"/>
    <xf numFmtId="2" fontId="0" fillId="4" borderId="16" xfId="0" applyNumberFormat="1" applyFont="1" applyFill="1" applyBorder="1"/>
    <xf numFmtId="2" fontId="0" fillId="8" borderId="16" xfId="0" applyNumberFormat="1" applyFill="1" applyBorder="1"/>
    <xf numFmtId="0" fontId="0" fillId="4" borderId="16" xfId="0" applyFill="1" applyBorder="1"/>
    <xf numFmtId="10" fontId="14" fillId="4" borderId="0" xfId="0" applyNumberFormat="1" applyFont="1" applyFill="1"/>
    <xf numFmtId="10" fontId="0" fillId="8" borderId="3" xfId="2" applyNumberFormat="1" applyFont="1" applyFill="1" applyBorder="1"/>
    <xf numFmtId="0" fontId="3" fillId="4" borderId="17" xfId="0" applyFont="1" applyFill="1" applyBorder="1" applyAlignment="1">
      <alignment horizontal="right"/>
    </xf>
    <xf numFmtId="2" fontId="0" fillId="4" borderId="3" xfId="0" applyNumberFormat="1" applyFill="1" applyBorder="1"/>
    <xf numFmtId="0" fontId="3" fillId="4" borderId="3" xfId="0" applyFont="1" applyFill="1" applyBorder="1"/>
    <xf numFmtId="10" fontId="3" fillId="8" borderId="3" xfId="0" applyNumberFormat="1" applyFont="1" applyFill="1" applyBorder="1"/>
    <xf numFmtId="0" fontId="16" fillId="4" borderId="0" xfId="0" applyFont="1" applyFill="1" applyAlignment="1">
      <alignment vertical="top"/>
    </xf>
    <xf numFmtId="0" fontId="20" fillId="4" borderId="0" xfId="5" applyFont="1" applyFill="1" applyAlignment="1">
      <alignment vertical="top"/>
    </xf>
    <xf numFmtId="0" fontId="2" fillId="5" borderId="0" xfId="0" applyFont="1" applyFill="1" applyAlignment="1">
      <alignment horizontal="center"/>
    </xf>
    <xf numFmtId="0" fontId="16" fillId="4" borderId="0" xfId="0" applyFont="1" applyFill="1" applyAlignment="1">
      <alignment horizontal="right" vertical="top"/>
    </xf>
    <xf numFmtId="164" fontId="5" fillId="0" borderId="0" xfId="4" applyNumberFormat="1" applyBorder="1" applyAlignment="1" applyProtection="1">
      <alignment horizontal="center"/>
    </xf>
    <xf numFmtId="164" fontId="2" fillId="2" borderId="0" xfId="3" applyNumberFormat="1" applyFont="1" applyBorder="1" applyAlignment="1">
      <alignment horizontal="center"/>
    </xf>
    <xf numFmtId="174" fontId="0" fillId="4" borderId="0" xfId="0" applyNumberFormat="1" applyFill="1"/>
  </cellXfs>
  <cellStyles count="6">
    <cellStyle name="Accent6" xfId="3" builtinId="49"/>
    <cellStyle name="Comma" xfId="1" builtinId="3"/>
    <cellStyle name="Hyperlink" xfId="4" builtinId="8"/>
    <cellStyle name="Hyperlink 2" xfId="5"/>
    <cellStyle name="Normal" xfId="0" builtinId="0"/>
    <cellStyle name="Percent" xfId="2" builtinId="5"/>
  </cellStyles>
  <dxfs count="1">
    <dxf>
      <font>
        <b/>
        <i val="0"/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ta_motors_WACC_May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cc"/>
      <sheetName val="Data&gt;"/>
      <sheetName val="Comparable Companies"/>
      <sheetName val="Other Input Calculations"/>
    </sheetNames>
    <sheetDataSet>
      <sheetData sheetId="0">
        <row r="39">
          <cell r="E39">
            <v>0.11810022116959211</v>
          </cell>
        </row>
      </sheetData>
      <sheetData sheetId="1"/>
      <sheetData sheetId="2">
        <row r="4">
          <cell r="C4">
            <v>265646.13</v>
          </cell>
          <cell r="D4">
            <v>71540</v>
          </cell>
          <cell r="E4">
            <v>1.4301534159320135</v>
          </cell>
        </row>
        <row r="5">
          <cell r="C5">
            <v>390173.59</v>
          </cell>
          <cell r="D5">
            <v>87</v>
          </cell>
          <cell r="E5">
            <v>0.82316866903252717</v>
          </cell>
        </row>
        <row r="6">
          <cell r="C6">
            <v>370148.81</v>
          </cell>
          <cell r="D6">
            <v>124949.31</v>
          </cell>
          <cell r="E6">
            <v>1.6044107601961133</v>
          </cell>
        </row>
        <row r="7">
          <cell r="C7">
            <v>242885.68</v>
          </cell>
          <cell r="D7">
            <v>9364.16</v>
          </cell>
          <cell r="E7">
            <v>1.1253638598711027</v>
          </cell>
        </row>
        <row r="8">
          <cell r="C8">
            <v>152343.32999999999</v>
          </cell>
          <cell r="D8">
            <v>847.29</v>
          </cell>
          <cell r="E8">
            <v>0.81985035777067183</v>
          </cell>
        </row>
      </sheetData>
      <sheetData sheetId="3">
        <row r="4">
          <cell r="C4">
            <v>6.1879999999999998E-2</v>
          </cell>
        </row>
        <row r="5">
          <cell r="C5">
            <v>2.18E-2</v>
          </cell>
        </row>
        <row r="7">
          <cell r="C7">
            <v>7.2599999999999998E-2</v>
          </cell>
        </row>
        <row r="10">
          <cell r="C10">
            <v>4.0079999999999998E-2</v>
          </cell>
        </row>
        <row r="11">
          <cell r="C11">
            <v>2.93E-2</v>
          </cell>
        </row>
        <row r="12">
          <cell r="C12">
            <v>7.7000000000000002E-3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ages.stern.nyu.edu/~adamodar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screener.in/exce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1"/>
  <sheetViews>
    <sheetView workbookViewId="0">
      <selection activeCell="C7" sqref="C7"/>
    </sheetView>
  </sheetViews>
  <sheetFormatPr defaultRowHeight="14.5" x14ac:dyDescent="0.35"/>
  <cols>
    <col min="1" max="16384" width="8.7265625" style="8"/>
  </cols>
  <sheetData>
    <row r="11" spans="2:2" ht="32" x14ac:dyDescent="0.7">
      <c r="B11" s="55" t="s">
        <v>159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N10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1" sqref="C21"/>
    </sheetView>
  </sheetViews>
  <sheetFormatPr defaultRowHeight="14.5" x14ac:dyDescent="0.35"/>
  <cols>
    <col min="1" max="1" width="1.90625" style="8" customWidth="1"/>
    <col min="2" max="2" width="31.7265625" style="8" customWidth="1"/>
    <col min="3" max="12" width="10.81640625" style="8" bestFit="1" customWidth="1"/>
    <col min="13" max="13" width="10.26953125" style="8" bestFit="1" customWidth="1"/>
    <col min="14" max="16384" width="8.7265625" style="8"/>
  </cols>
  <sheetData>
    <row r="2" spans="1:13" x14ac:dyDescent="0.35">
      <c r="B2" s="138" t="str">
        <f>"Historical Financial Statement - "&amp;'Data Sheet'!B1</f>
        <v>Historical Financial Statement - TATA MOTORS LTD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1:13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M3" s="10" t="s">
        <v>55</v>
      </c>
    </row>
    <row r="4" spans="1:13" x14ac:dyDescent="0.35">
      <c r="A4" s="17" t="s">
        <v>56</v>
      </c>
      <c r="B4" s="17" t="s">
        <v>57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1:13" x14ac:dyDescent="0.35">
      <c r="B5" s="8" t="s">
        <v>12</v>
      </c>
      <c r="C5" s="12">
        <f>IFERROR('Data Sheet'!B17,0)</f>
        <v>273045.59999999998</v>
      </c>
      <c r="D5" s="12">
        <f>IFERROR('Data Sheet'!C17,0)</f>
        <v>269692.51</v>
      </c>
      <c r="E5" s="12">
        <f>IFERROR('Data Sheet'!D17,0)</f>
        <v>291550.48</v>
      </c>
      <c r="F5" s="12">
        <f>IFERROR('Data Sheet'!E17,0)</f>
        <v>301938.40000000002</v>
      </c>
      <c r="G5" s="12">
        <f>IFERROR('Data Sheet'!F17,0)</f>
        <v>261067.97</v>
      </c>
      <c r="H5" s="12">
        <f>IFERROR('Data Sheet'!G17,0)</f>
        <v>249794.75</v>
      </c>
      <c r="I5" s="12">
        <f>IFERROR('Data Sheet'!H17,0)</f>
        <v>278453.62</v>
      </c>
      <c r="J5" s="12">
        <f>IFERROR('Data Sheet'!I17,0)</f>
        <v>345966.97</v>
      </c>
      <c r="K5" s="12">
        <f>IFERROR('Data Sheet'!J17,0)</f>
        <v>434016</v>
      </c>
      <c r="L5" s="12">
        <f>IFERROR('Data Sheet'!K17,0)</f>
        <v>439695</v>
      </c>
      <c r="M5" s="12">
        <f>IFERROR(SUM('Data Sheet'!H42:K42),0)</f>
        <v>441609</v>
      </c>
    </row>
    <row r="6" spans="1:13" x14ac:dyDescent="0.35">
      <c r="B6" s="16" t="s">
        <v>59</v>
      </c>
      <c r="C6" s="13" t="s">
        <v>58</v>
      </c>
      <c r="D6" s="15">
        <f>D5/C5-1</f>
        <v>-1.2280329732469508E-2</v>
      </c>
      <c r="E6" s="15">
        <f t="shared" ref="E6:M6" si="0">E5/D5-1</f>
        <v>8.104774581985974E-2</v>
      </c>
      <c r="F6" s="15">
        <f t="shared" si="0"/>
        <v>3.5629919045237157E-2</v>
      </c>
      <c r="G6" s="15">
        <f t="shared" si="0"/>
        <v>-0.135360159555724</v>
      </c>
      <c r="H6" s="15">
        <f t="shared" si="0"/>
        <v>-4.3181168490336042E-2</v>
      </c>
      <c r="I6" s="15">
        <f t="shared" si="0"/>
        <v>0.11472967306158344</v>
      </c>
      <c r="J6" s="15">
        <f t="shared" si="0"/>
        <v>0.24245815155859707</v>
      </c>
      <c r="K6" s="15">
        <f t="shared" si="0"/>
        <v>0.25450126062612277</v>
      </c>
      <c r="L6" s="15">
        <f t="shared" si="0"/>
        <v>1.3084771068347711E-2</v>
      </c>
      <c r="M6" s="15">
        <f t="shared" si="0"/>
        <v>4.3530174325385751E-3</v>
      </c>
    </row>
    <row r="7" spans="1:13" x14ac:dyDescent="0.35">
      <c r="B7" s="8" t="s">
        <v>60</v>
      </c>
      <c r="C7" s="12">
        <f>IFERROR(SUM('Data Sheet'!B18,'Data Sheet'!B20:B22)-1*'Data Sheet'!B19,0)</f>
        <v>205509.07</v>
      </c>
      <c r="D7" s="12">
        <f>IFERROR(SUM('Data Sheet'!C18,'Data Sheet'!C20:C22)-1*'Data Sheet'!C19,0)</f>
        <v>205454.23999999996</v>
      </c>
      <c r="E7" s="12">
        <f>IFERROR(SUM('Data Sheet'!D18,'Data Sheet'!D20:D22)-1*'Data Sheet'!D19,0)</f>
        <v>228429.83</v>
      </c>
      <c r="F7" s="12">
        <f>IFERROR(SUM('Data Sheet'!E18,'Data Sheet'!E20:E22)-1*'Data Sheet'!E19,0)</f>
        <v>242845.53</v>
      </c>
      <c r="G7" s="12">
        <f>IFERROR(SUM('Data Sheet'!F18,'Data Sheet'!F20:F22)-1*'Data Sheet'!F19,0)</f>
        <v>210376.07000000004</v>
      </c>
      <c r="H7" s="12">
        <f>IFERROR(SUM('Data Sheet'!G18,'Data Sheet'!G20:G22)-1*'Data Sheet'!G19,0)</f>
        <v>195326.04</v>
      </c>
      <c r="I7" s="12">
        <f>IFERROR(SUM('Data Sheet'!H18,'Data Sheet'!H20:H22)-1*'Data Sheet'!H19,0)</f>
        <v>223300.00999999998</v>
      </c>
      <c r="J7" s="12">
        <f>IFERROR(SUM('Data Sheet'!I18,'Data Sheet'!I20:I22)-1*'Data Sheet'!I19,0)</f>
        <v>274403.64</v>
      </c>
      <c r="K7" s="12">
        <f>IFERROR(SUM('Data Sheet'!J18,'Data Sheet'!J20:J22)-1*'Data Sheet'!J19,0)</f>
        <v>334380</v>
      </c>
      <c r="L7" s="12">
        <f>IFERROR(SUM('Data Sheet'!K18,'Data Sheet'!K20:K22)-1*'Data Sheet'!K19,0)</f>
        <v>340809</v>
      </c>
      <c r="M7" s="12">
        <f>IFERROR(SUM('Data Sheet'!H43:K43),0)</f>
        <v>384424</v>
      </c>
    </row>
    <row r="8" spans="1:13" x14ac:dyDescent="0.35">
      <c r="B8" s="16" t="s">
        <v>61</v>
      </c>
      <c r="C8" s="15">
        <f>C7/C$5</f>
        <v>0.75265475803309057</v>
      </c>
      <c r="D8" s="15">
        <f t="shared" ref="D8:M8" si="1">D7/D$5</f>
        <v>0.76180921746770036</v>
      </c>
      <c r="E8" s="15">
        <f t="shared" si="1"/>
        <v>0.78350009919380004</v>
      </c>
      <c r="F8" s="15">
        <f t="shared" si="1"/>
        <v>0.80428832503583503</v>
      </c>
      <c r="G8" s="15">
        <f t="shared" si="1"/>
        <v>0.80582872728508226</v>
      </c>
      <c r="H8" s="15">
        <f t="shared" si="1"/>
        <v>0.7819461377791167</v>
      </c>
      <c r="I8" s="15">
        <f t="shared" si="1"/>
        <v>0.80192891728252624</v>
      </c>
      <c r="J8" s="15">
        <f t="shared" si="1"/>
        <v>0.79314982005363122</v>
      </c>
      <c r="K8" s="15">
        <f t="shared" si="1"/>
        <v>0.7704324264543243</v>
      </c>
      <c r="L8" s="15">
        <f t="shared" si="1"/>
        <v>0.77510319653396109</v>
      </c>
      <c r="M8" s="15">
        <f t="shared" si="1"/>
        <v>0.87050762099504309</v>
      </c>
    </row>
    <row r="10" spans="1:13" x14ac:dyDescent="0.35">
      <c r="B10" s="20" t="s">
        <v>62</v>
      </c>
      <c r="C10" s="21">
        <f>C5-C7</f>
        <v>67536.52999999997</v>
      </c>
      <c r="D10" s="21">
        <f t="shared" ref="D10:M10" si="2">D5-D7</f>
        <v>64238.270000000048</v>
      </c>
      <c r="E10" s="21">
        <f t="shared" si="2"/>
        <v>63120.649999999994</v>
      </c>
      <c r="F10" s="21">
        <f t="shared" si="2"/>
        <v>59092.870000000024</v>
      </c>
      <c r="G10" s="21">
        <f t="shared" si="2"/>
        <v>50691.899999999965</v>
      </c>
      <c r="H10" s="21">
        <f t="shared" si="2"/>
        <v>54468.709999999992</v>
      </c>
      <c r="I10" s="21">
        <f t="shared" si="2"/>
        <v>55153.610000000015</v>
      </c>
      <c r="J10" s="21">
        <f t="shared" si="2"/>
        <v>71563.329999999958</v>
      </c>
      <c r="K10" s="21">
        <f t="shared" si="2"/>
        <v>99636</v>
      </c>
      <c r="L10" s="21">
        <f t="shared" si="2"/>
        <v>98886</v>
      </c>
      <c r="M10" s="21">
        <f t="shared" si="2"/>
        <v>57185</v>
      </c>
    </row>
    <row r="11" spans="1:13" x14ac:dyDescent="0.35">
      <c r="B11" s="16" t="s">
        <v>129</v>
      </c>
      <c r="C11" s="15">
        <f>C10/C5</f>
        <v>0.24734524196690946</v>
      </c>
      <c r="D11" s="15">
        <f t="shared" ref="D11:M11" si="3">D10/D5</f>
        <v>0.23819078253229964</v>
      </c>
      <c r="E11" s="15">
        <f t="shared" si="3"/>
        <v>0.21649990080619999</v>
      </c>
      <c r="F11" s="15">
        <f t="shared" si="3"/>
        <v>0.19571167496416494</v>
      </c>
      <c r="G11" s="15">
        <f t="shared" si="3"/>
        <v>0.19417127271491774</v>
      </c>
      <c r="H11" s="15">
        <f t="shared" si="3"/>
        <v>0.2180538622208833</v>
      </c>
      <c r="I11" s="15">
        <f t="shared" si="3"/>
        <v>0.19807108271747378</v>
      </c>
      <c r="J11" s="15">
        <f t="shared" si="3"/>
        <v>0.20685017994636876</v>
      </c>
      <c r="K11" s="15">
        <f t="shared" si="3"/>
        <v>0.22956757354567572</v>
      </c>
      <c r="L11" s="15">
        <f t="shared" si="3"/>
        <v>0.22489680346603896</v>
      </c>
      <c r="M11" s="15">
        <f t="shared" si="3"/>
        <v>0.12949237900495689</v>
      </c>
    </row>
    <row r="12" spans="1:13" x14ac:dyDescent="0.35">
      <c r="B12" s="25"/>
    </row>
    <row r="13" spans="1:13" x14ac:dyDescent="0.35">
      <c r="B13" s="8" t="s">
        <v>63</v>
      </c>
      <c r="C13" s="12">
        <f>IFERROR(SUM('Data Sheet'!B23:B24),0)</f>
        <v>29141.280000000002</v>
      </c>
      <c r="D13" s="12">
        <f>IFERROR(SUM('Data Sheet'!C23:C24),0)</f>
        <v>34649.58</v>
      </c>
      <c r="E13" s="12">
        <f>IFERROR(SUM('Data Sheet'!D23:D24),0)</f>
        <v>31662.97</v>
      </c>
      <c r="F13" s="12">
        <f>IFERROR(SUM('Data Sheet'!E23:E24),0)</f>
        <v>34428.54</v>
      </c>
      <c r="G13" s="12">
        <f>IFERROR(SUM('Data Sheet'!F23:F24),0)</f>
        <v>32704.83</v>
      </c>
      <c r="H13" s="12">
        <f>IFERROR(SUM('Data Sheet'!G23:G24),0)</f>
        <v>22181.280000000002</v>
      </c>
      <c r="I13" s="12">
        <f>IFERROR(SUM('Data Sheet'!H23:H24),0)</f>
        <v>30433.52</v>
      </c>
      <c r="J13" s="12">
        <f>IFERROR(SUM('Data Sheet'!I23:I24),0)</f>
        <v>39747.53</v>
      </c>
      <c r="K13" s="12">
        <f>IFERROR(SUM('Data Sheet'!J23:J24),0)</f>
        <v>41812</v>
      </c>
      <c r="L13" s="12">
        <f>IFERROR(SUM('Data Sheet'!K23:K24),0)</f>
        <v>43670</v>
      </c>
      <c r="M13" s="12">
        <f>IFERROR(SUM('Data Sheet'!L23:L24),0)</f>
        <v>0</v>
      </c>
    </row>
    <row r="14" spans="1:13" x14ac:dyDescent="0.35">
      <c r="B14" s="16" t="s">
        <v>64</v>
      </c>
      <c r="C14" s="15">
        <f>C13/C$5</f>
        <v>0.10672678849247161</v>
      </c>
      <c r="D14" s="15">
        <f t="shared" ref="D14:M14" si="4">D13/D$5</f>
        <v>0.12847809529452636</v>
      </c>
      <c r="E14" s="15">
        <f t="shared" si="4"/>
        <v>0.10860201636437025</v>
      </c>
      <c r="F14" s="15">
        <f t="shared" si="4"/>
        <v>0.11402504616835751</v>
      </c>
      <c r="G14" s="15">
        <f t="shared" si="4"/>
        <v>0.12527323822987554</v>
      </c>
      <c r="H14" s="15">
        <f t="shared" si="4"/>
        <v>8.8798023177028354E-2</v>
      </c>
      <c r="I14" s="15">
        <f t="shared" si="4"/>
        <v>0.10929475436519734</v>
      </c>
      <c r="J14" s="15">
        <f t="shared" si="4"/>
        <v>0.11488822184383672</v>
      </c>
      <c r="K14" s="15">
        <f t="shared" si="4"/>
        <v>9.6337462213374622E-2</v>
      </c>
      <c r="L14" s="15">
        <f t="shared" si="4"/>
        <v>9.9318846018262658E-2</v>
      </c>
      <c r="M14" s="15">
        <f t="shared" si="4"/>
        <v>0</v>
      </c>
    </row>
    <row r="16" spans="1:13" x14ac:dyDescent="0.35">
      <c r="B16" s="20" t="s">
        <v>65</v>
      </c>
      <c r="C16" s="21">
        <f>C10-C13</f>
        <v>38395.249999999971</v>
      </c>
      <c r="D16" s="21">
        <f t="shared" ref="D16:M16" si="5">D10-D13</f>
        <v>29588.690000000046</v>
      </c>
      <c r="E16" s="21">
        <f t="shared" si="5"/>
        <v>31457.679999999993</v>
      </c>
      <c r="F16" s="21">
        <f t="shared" si="5"/>
        <v>24664.330000000024</v>
      </c>
      <c r="G16" s="21">
        <f t="shared" si="5"/>
        <v>17987.069999999963</v>
      </c>
      <c r="H16" s="21">
        <f t="shared" si="5"/>
        <v>32287.429999999989</v>
      </c>
      <c r="I16" s="21">
        <f t="shared" si="5"/>
        <v>24720.090000000015</v>
      </c>
      <c r="J16" s="21">
        <f t="shared" si="5"/>
        <v>31815.799999999959</v>
      </c>
      <c r="K16" s="21">
        <f t="shared" si="5"/>
        <v>57824</v>
      </c>
      <c r="L16" s="21">
        <f t="shared" si="5"/>
        <v>55216</v>
      </c>
      <c r="M16" s="21">
        <f t="shared" si="5"/>
        <v>57185</v>
      </c>
    </row>
    <row r="17" spans="2:13" x14ac:dyDescent="0.35">
      <c r="B17" s="16" t="s">
        <v>66</v>
      </c>
      <c r="C17" s="15">
        <f>C16/C$5</f>
        <v>0.14061845347443788</v>
      </c>
      <c r="D17" s="15">
        <f t="shared" ref="D17:M17" si="6">D16/D$5</f>
        <v>0.10971268723777329</v>
      </c>
      <c r="E17" s="15">
        <f t="shared" si="6"/>
        <v>0.10789788444182975</v>
      </c>
      <c r="F17" s="15">
        <f t="shared" si="6"/>
        <v>8.1686628795807431E-2</v>
      </c>
      <c r="G17" s="15">
        <f t="shared" si="6"/>
        <v>6.8898034485042198E-2</v>
      </c>
      <c r="H17" s="15">
        <f t="shared" si="6"/>
        <v>0.12925583904385496</v>
      </c>
      <c r="I17" s="15">
        <f t="shared" si="6"/>
        <v>8.877632835227646E-2</v>
      </c>
      <c r="J17" s="15">
        <f t="shared" si="6"/>
        <v>9.1961958102532049E-2</v>
      </c>
      <c r="K17" s="15">
        <f t="shared" si="6"/>
        <v>0.13323011133230112</v>
      </c>
      <c r="L17" s="15">
        <f t="shared" si="6"/>
        <v>0.12557795744777631</v>
      </c>
      <c r="M17" s="15">
        <f t="shared" si="6"/>
        <v>0.12949237900495689</v>
      </c>
    </row>
    <row r="19" spans="2:13" x14ac:dyDescent="0.35">
      <c r="B19" s="8" t="s">
        <v>67</v>
      </c>
      <c r="C19" s="12">
        <f>IFERROR('Data Sheet'!B27,0)</f>
        <v>4889.08</v>
      </c>
      <c r="D19" s="12">
        <f>IFERROR('Data Sheet'!C27,0)</f>
        <v>4238.01</v>
      </c>
      <c r="E19" s="12">
        <f>IFERROR('Data Sheet'!D27,0)</f>
        <v>4681.79</v>
      </c>
      <c r="F19" s="12">
        <f>IFERROR('Data Sheet'!E27,0)</f>
        <v>5758.6</v>
      </c>
      <c r="G19" s="12">
        <f>IFERROR('Data Sheet'!F27,0)</f>
        <v>7243.33</v>
      </c>
      <c r="H19" s="12">
        <f>IFERROR('Data Sheet'!G27,0)</f>
        <v>8097.17</v>
      </c>
      <c r="I19" s="12">
        <f>IFERROR('Data Sheet'!H27,0)</f>
        <v>9311.86</v>
      </c>
      <c r="J19" s="12">
        <f>IFERROR('Data Sheet'!I27,0)</f>
        <v>10225.48</v>
      </c>
      <c r="K19" s="12">
        <f>IFERROR('Data Sheet'!J27,0)</f>
        <v>7594</v>
      </c>
      <c r="L19" s="12">
        <f>IFERROR('Data Sheet'!K27,0)</f>
        <v>5083</v>
      </c>
      <c r="M19" s="12">
        <f>IFERROR(SUM('Data Sheet'!H46:K46),0)</f>
        <v>6317</v>
      </c>
    </row>
    <row r="20" spans="2:13" x14ac:dyDescent="0.35">
      <c r="B20" s="16" t="s">
        <v>68</v>
      </c>
      <c r="C20" s="15">
        <f>C19/C$5</f>
        <v>1.7905727101993223E-2</v>
      </c>
      <c r="D20" s="15">
        <f t="shared" ref="D20:M20" si="7">D19/D$5</f>
        <v>1.5714229512714312E-2</v>
      </c>
      <c r="E20" s="15">
        <f t="shared" si="7"/>
        <v>1.605824830060304E-2</v>
      </c>
      <c r="F20" s="15">
        <f t="shared" si="7"/>
        <v>1.9072102124141878E-2</v>
      </c>
      <c r="G20" s="15">
        <f t="shared" si="7"/>
        <v>2.7744996829752802E-2</v>
      </c>
      <c r="H20" s="15">
        <f t="shared" si="7"/>
        <v>3.2415292955516477E-2</v>
      </c>
      <c r="I20" s="15">
        <f t="shared" si="7"/>
        <v>3.3441332168710897E-2</v>
      </c>
      <c r="J20" s="15">
        <f t="shared" si="7"/>
        <v>2.9556231914277829E-2</v>
      </c>
      <c r="K20" s="15">
        <f t="shared" si="7"/>
        <v>1.7497050799970507E-2</v>
      </c>
      <c r="L20" s="15">
        <f t="shared" si="7"/>
        <v>1.1560286107415368E-2</v>
      </c>
      <c r="M20" s="15">
        <f t="shared" si="7"/>
        <v>1.4304509192520985E-2</v>
      </c>
    </row>
    <row r="22" spans="2:13" x14ac:dyDescent="0.35">
      <c r="B22" s="8" t="s">
        <v>21</v>
      </c>
      <c r="C22" s="12">
        <f>IFERROR('Data Sheet'!B26,0)</f>
        <v>16710.78</v>
      </c>
      <c r="D22" s="12">
        <f>IFERROR('Data Sheet'!C26,0)</f>
        <v>17904.990000000002</v>
      </c>
      <c r="E22" s="12">
        <f>IFERROR('Data Sheet'!D26,0)</f>
        <v>21553.59</v>
      </c>
      <c r="F22" s="12">
        <f>IFERROR('Data Sheet'!E26,0)</f>
        <v>23590.63</v>
      </c>
      <c r="G22" s="12">
        <f>IFERROR('Data Sheet'!F26,0)</f>
        <v>21425.43</v>
      </c>
      <c r="H22" s="12">
        <f>IFERROR('Data Sheet'!G26,0)</f>
        <v>23546.71</v>
      </c>
      <c r="I22" s="12">
        <f>IFERROR('Data Sheet'!H26,0)</f>
        <v>24835.69</v>
      </c>
      <c r="J22" s="12">
        <f>IFERROR('Data Sheet'!I26,0)</f>
        <v>24860.36</v>
      </c>
      <c r="K22" s="12">
        <f>IFERROR('Data Sheet'!J26,0)</f>
        <v>27239</v>
      </c>
      <c r="L22" s="12">
        <f>IFERROR('Data Sheet'!K26,0)</f>
        <v>23256</v>
      </c>
      <c r="M22" s="12">
        <f>IFERROR(SUM('Data Sheet'!H45:K45),0)</f>
        <v>23273</v>
      </c>
    </row>
    <row r="23" spans="2:13" x14ac:dyDescent="0.35">
      <c r="B23" s="16" t="s">
        <v>69</v>
      </c>
      <c r="C23" s="15">
        <f>C22/C$5</f>
        <v>6.1201425695927715E-2</v>
      </c>
      <c r="D23" s="15">
        <f t="shared" ref="D23:M23" si="8">D22/D$5</f>
        <v>6.63903865924938E-2</v>
      </c>
      <c r="E23" s="15">
        <f t="shared" si="8"/>
        <v>7.3927472182518786E-2</v>
      </c>
      <c r="F23" s="15">
        <f t="shared" si="8"/>
        <v>7.8130605447998658E-2</v>
      </c>
      <c r="G23" s="15">
        <f t="shared" si="8"/>
        <v>8.206839774331566E-2</v>
      </c>
      <c r="H23" s="15">
        <f t="shared" si="8"/>
        <v>9.4264230933596482E-2</v>
      </c>
      <c r="I23" s="15">
        <f t="shared" si="8"/>
        <v>8.9191478279219347E-2</v>
      </c>
      <c r="J23" s="15">
        <f t="shared" si="8"/>
        <v>7.1857611147098821E-2</v>
      </c>
      <c r="K23" s="15">
        <f t="shared" si="8"/>
        <v>6.2760359065103591E-2</v>
      </c>
      <c r="L23" s="15">
        <f t="shared" si="8"/>
        <v>5.2891208678743216E-2</v>
      </c>
      <c r="M23" s="15">
        <f t="shared" si="8"/>
        <v>5.2700465796666283E-2</v>
      </c>
    </row>
    <row r="25" spans="2:13" x14ac:dyDescent="0.35">
      <c r="B25" s="20" t="s">
        <v>70</v>
      </c>
      <c r="C25" s="21">
        <f>C16-C19-C22</f>
        <v>16795.38999999997</v>
      </c>
      <c r="D25" s="21">
        <f t="shared" ref="D25:M25" si="9">D16-D19-D22</f>
        <v>7445.6900000000423</v>
      </c>
      <c r="E25" s="21">
        <f t="shared" si="9"/>
        <v>5222.299999999992</v>
      </c>
      <c r="F25" s="21">
        <f t="shared" si="9"/>
        <v>-4684.899999999976</v>
      </c>
      <c r="G25" s="21">
        <f t="shared" si="9"/>
        <v>-10681.690000000037</v>
      </c>
      <c r="H25" s="21">
        <f t="shared" si="9"/>
        <v>643.54999999998836</v>
      </c>
      <c r="I25" s="21">
        <f t="shared" si="9"/>
        <v>-9427.4599999999846</v>
      </c>
      <c r="J25" s="21">
        <f t="shared" si="9"/>
        <v>-3270.0400000000409</v>
      </c>
      <c r="K25" s="21">
        <f t="shared" si="9"/>
        <v>22991</v>
      </c>
      <c r="L25" s="21">
        <f t="shared" si="9"/>
        <v>26877</v>
      </c>
      <c r="M25" s="21">
        <f t="shared" si="9"/>
        <v>27595</v>
      </c>
    </row>
    <row r="26" spans="2:13" x14ac:dyDescent="0.35">
      <c r="B26" s="16" t="s">
        <v>71</v>
      </c>
      <c r="C26" s="15">
        <f>C25/C$5</f>
        <v>6.1511300676516931E-2</v>
      </c>
      <c r="D26" s="15">
        <f t="shared" ref="D26:M26" si="10">D25/D$5</f>
        <v>2.7608071132565165E-2</v>
      </c>
      <c r="E26" s="15">
        <f t="shared" si="10"/>
        <v>1.7912163958707913E-2</v>
      </c>
      <c r="F26" s="15">
        <f t="shared" si="10"/>
        <v>-1.5516078776333105E-2</v>
      </c>
      <c r="G26" s="15">
        <f t="shared" si="10"/>
        <v>-4.0915360088026258E-2</v>
      </c>
      <c r="H26" s="15">
        <f t="shared" si="10"/>
        <v>2.5763151547419966E-3</v>
      </c>
      <c r="I26" s="15">
        <f t="shared" si="10"/>
        <v>-3.3856482095653791E-2</v>
      </c>
      <c r="J26" s="15">
        <f t="shared" si="10"/>
        <v>-9.4518849588445999E-3</v>
      </c>
      <c r="K26" s="15">
        <f t="shared" si="10"/>
        <v>5.2972701467227018E-2</v>
      </c>
      <c r="L26" s="15">
        <f t="shared" si="10"/>
        <v>6.1126462661617711E-2</v>
      </c>
      <c r="M26" s="15">
        <f t="shared" si="10"/>
        <v>6.2487404015769604E-2</v>
      </c>
    </row>
    <row r="28" spans="2:13" x14ac:dyDescent="0.35">
      <c r="B28" s="8" t="s">
        <v>72</v>
      </c>
      <c r="C28" s="12">
        <f>IFERROR('Data Sheet'!B29,0)</f>
        <v>3025.05</v>
      </c>
      <c r="D28" s="12">
        <f>IFERROR('Data Sheet'!C29,0)</f>
        <v>3251.23</v>
      </c>
      <c r="E28" s="12">
        <f>IFERROR('Data Sheet'!D29,0)</f>
        <v>4341.93</v>
      </c>
      <c r="F28" s="12">
        <f>IFERROR('Data Sheet'!E29,0)</f>
        <v>-2437.4499999999998</v>
      </c>
      <c r="G28" s="12">
        <f>IFERROR('Data Sheet'!F29,0)</f>
        <v>395.25</v>
      </c>
      <c r="H28" s="12">
        <f>IFERROR('Data Sheet'!G29,0)</f>
        <v>2541.86</v>
      </c>
      <c r="I28" s="12">
        <f>IFERROR('Data Sheet'!H29,0)</f>
        <v>4231.29</v>
      </c>
      <c r="J28" s="12">
        <f>IFERROR('Data Sheet'!I29,0)</f>
        <v>704.06</v>
      </c>
      <c r="K28" s="12">
        <f>IFERROR('Data Sheet'!J29,0)</f>
        <v>-4024</v>
      </c>
      <c r="L28" s="12">
        <f>IFERROR('Data Sheet'!K29,0)</f>
        <v>10502</v>
      </c>
      <c r="M28" s="12">
        <f>IFERROR(SUM('Data Sheet'!H48:K48),0)</f>
        <v>10563</v>
      </c>
    </row>
    <row r="29" spans="2:13" x14ac:dyDescent="0.35">
      <c r="B29" s="16" t="s">
        <v>73</v>
      </c>
      <c r="C29" s="15">
        <f>C28/C25</f>
        <v>0.18011192356950362</v>
      </c>
      <c r="D29" s="15">
        <f t="shared" ref="D29:M29" si="11">D28/D25</f>
        <v>0.43665932908836946</v>
      </c>
      <c r="E29" s="15">
        <f t="shared" si="11"/>
        <v>0.8314210213890445</v>
      </c>
      <c r="F29" s="15">
        <f t="shared" si="11"/>
        <v>0.52027791414971769</v>
      </c>
      <c r="G29" s="15">
        <f t="shared" si="11"/>
        <v>-3.7002571690434624E-2</v>
      </c>
      <c r="H29" s="15">
        <f t="shared" si="11"/>
        <v>3.9497474943672537</v>
      </c>
      <c r="I29" s="15">
        <f t="shared" si="11"/>
        <v>-0.44882608889350967</v>
      </c>
      <c r="J29" s="15">
        <f t="shared" si="11"/>
        <v>-0.2153062347861161</v>
      </c>
      <c r="K29" s="15">
        <f t="shared" si="11"/>
        <v>-0.17502500978643817</v>
      </c>
      <c r="L29" s="15">
        <f t="shared" si="11"/>
        <v>0.39074301447334153</v>
      </c>
      <c r="M29" s="15">
        <f t="shared" si="11"/>
        <v>0.38278673672766805</v>
      </c>
    </row>
    <row r="31" spans="2:13" ht="15" thickBot="1" x14ac:dyDescent="0.4">
      <c r="B31" s="23" t="s">
        <v>74</v>
      </c>
      <c r="C31" s="24">
        <f>C25-C28</f>
        <v>13770.339999999971</v>
      </c>
      <c r="D31" s="24">
        <f t="shared" ref="D31:M31" si="12">D25-D28</f>
        <v>4194.4600000000428</v>
      </c>
      <c r="E31" s="24">
        <f t="shared" si="12"/>
        <v>880.36999999999171</v>
      </c>
      <c r="F31" s="24">
        <f t="shared" si="12"/>
        <v>-2247.4499999999762</v>
      </c>
      <c r="G31" s="24">
        <f t="shared" si="12"/>
        <v>-11076.940000000037</v>
      </c>
      <c r="H31" s="24">
        <f t="shared" si="12"/>
        <v>-1898.3100000000118</v>
      </c>
      <c r="I31" s="24">
        <f t="shared" si="12"/>
        <v>-13658.749999999985</v>
      </c>
      <c r="J31" s="24">
        <f t="shared" si="12"/>
        <v>-3974.1000000000408</v>
      </c>
      <c r="K31" s="24">
        <f t="shared" si="12"/>
        <v>27015</v>
      </c>
      <c r="L31" s="24">
        <f t="shared" si="12"/>
        <v>16375</v>
      </c>
      <c r="M31" s="24">
        <f t="shared" si="12"/>
        <v>17032</v>
      </c>
    </row>
    <row r="32" spans="2:13" x14ac:dyDescent="0.35">
      <c r="B32" s="16" t="s">
        <v>75</v>
      </c>
      <c r="C32" s="15">
        <f>C31/C$5</f>
        <v>5.0432381990407359E-2</v>
      </c>
      <c r="D32" s="15">
        <f t="shared" ref="D32:M32" si="13">D31/D$5</f>
        <v>1.5552749314395282E-2</v>
      </c>
      <c r="E32" s="15">
        <f t="shared" si="13"/>
        <v>3.01961430487095E-3</v>
      </c>
      <c r="F32" s="15">
        <f t="shared" si="13"/>
        <v>-7.4434056747998134E-3</v>
      </c>
      <c r="G32" s="15">
        <f t="shared" si="13"/>
        <v>-4.2429333632923401E-2</v>
      </c>
      <c r="H32" s="15">
        <f t="shared" si="13"/>
        <v>-7.5994791724005879E-3</v>
      </c>
      <c r="I32" s="15">
        <f t="shared" si="13"/>
        <v>-4.9052154538339221E-2</v>
      </c>
      <c r="J32" s="15">
        <f t="shared" si="13"/>
        <v>-1.1486934720964955E-2</v>
      </c>
      <c r="K32" s="15">
        <f t="shared" si="13"/>
        <v>6.224424905994249E-2</v>
      </c>
      <c r="L32" s="15">
        <f t="shared" si="13"/>
        <v>3.724172437712505E-2</v>
      </c>
      <c r="M32" s="15">
        <f t="shared" si="13"/>
        <v>3.8568054545989779E-2</v>
      </c>
    </row>
    <row r="34" spans="1:13" x14ac:dyDescent="0.35">
      <c r="B34" s="8" t="s">
        <v>76</v>
      </c>
      <c r="C34" s="8">
        <f>IFERROR('Data Sheet'!B93,0)</f>
        <v>288.72000000000003</v>
      </c>
      <c r="D34" s="8">
        <f>IFERROR('Data Sheet'!C93,0)</f>
        <v>288.73</v>
      </c>
      <c r="E34" s="8">
        <f>IFERROR('Data Sheet'!D93,0)</f>
        <v>288.73</v>
      </c>
      <c r="F34" s="8">
        <f>IFERROR('Data Sheet'!E93,0)</f>
        <v>288.73</v>
      </c>
      <c r="G34" s="8">
        <f>IFERROR('Data Sheet'!F93,0)</f>
        <v>308.89999999999998</v>
      </c>
      <c r="H34" s="8">
        <f>IFERROR('Data Sheet'!G93,0)</f>
        <v>332.03</v>
      </c>
      <c r="I34" s="8">
        <f>IFERROR('Data Sheet'!H93,0)</f>
        <v>332.07</v>
      </c>
      <c r="J34" s="8">
        <f>IFERROR('Data Sheet'!I93,0)</f>
        <v>332.13</v>
      </c>
      <c r="K34" s="8">
        <f>IFERROR('Data Sheet'!J93,0)</f>
        <v>332.37</v>
      </c>
      <c r="L34" s="8">
        <f>IFERROR('Data Sheet'!K93,0)</f>
        <v>368.13</v>
      </c>
      <c r="M34" s="8">
        <f>IFERROR('Data Sheet'!L93,0)</f>
        <v>0</v>
      </c>
    </row>
    <row r="36" spans="1:13" x14ac:dyDescent="0.35">
      <c r="B36" s="8" t="s">
        <v>77</v>
      </c>
      <c r="C36" s="12">
        <f>C31/C34</f>
        <v>47.694444444444336</v>
      </c>
      <c r="D36" s="12">
        <f t="shared" ref="D36:L36" si="14">D31/D34</f>
        <v>14.527274616423796</v>
      </c>
      <c r="E36" s="12">
        <f t="shared" si="14"/>
        <v>3.049111626779315</v>
      </c>
      <c r="F36" s="12">
        <f t="shared" si="14"/>
        <v>-7.783915769057514</v>
      </c>
      <c r="G36" s="12">
        <f t="shared" si="14"/>
        <v>-35.859307219164897</v>
      </c>
      <c r="H36" s="12">
        <f t="shared" si="14"/>
        <v>-5.7172845827184648</v>
      </c>
      <c r="I36" s="12">
        <f t="shared" si="14"/>
        <v>-41.132140813683819</v>
      </c>
      <c r="J36" s="12">
        <f t="shared" si="14"/>
        <v>-11.965495438533228</v>
      </c>
      <c r="K36" s="12">
        <f t="shared" si="14"/>
        <v>81.279898907843673</v>
      </c>
      <c r="L36" s="12">
        <f t="shared" si="14"/>
        <v>44.481569010947219</v>
      </c>
      <c r="M36" s="12">
        <v>0</v>
      </c>
    </row>
    <row r="37" spans="1:13" x14ac:dyDescent="0.35">
      <c r="B37" s="16" t="s">
        <v>79</v>
      </c>
      <c r="C37" s="12"/>
      <c r="D37" s="15">
        <f>IFERROR(D36/C36-1,0)</f>
        <v>-0.6954095013446373</v>
      </c>
      <c r="E37" s="15">
        <f t="shared" ref="E37:M37" si="15">IFERROR(E36/D36-1,0)</f>
        <v>-0.79011124197155702</v>
      </c>
      <c r="F37" s="15">
        <f t="shared" si="15"/>
        <v>-3.5528470983790879</v>
      </c>
      <c r="G37" s="15">
        <f t="shared" si="15"/>
        <v>3.6068467700681177</v>
      </c>
      <c r="H37" s="15">
        <f t="shared" si="15"/>
        <v>-0.84056344011958828</v>
      </c>
      <c r="I37" s="15">
        <f t="shared" si="15"/>
        <v>6.194349033807625</v>
      </c>
      <c r="J37" s="15">
        <f t="shared" si="15"/>
        <v>-0.70909621522659583</v>
      </c>
      <c r="K37" s="15">
        <f t="shared" si="15"/>
        <v>-7.7928569548481015</v>
      </c>
      <c r="L37" s="15">
        <f t="shared" si="15"/>
        <v>-0.45273592107464278</v>
      </c>
      <c r="M37" s="15">
        <f t="shared" si="15"/>
        <v>-1</v>
      </c>
    </row>
    <row r="39" spans="1:13" x14ac:dyDescent="0.35">
      <c r="B39" s="8" t="s">
        <v>78</v>
      </c>
      <c r="C39" s="12">
        <f>IFERROR('Data Sheet'!B31/HistoricalFS!C34,0)</f>
        <v>0.23524522028262676</v>
      </c>
      <c r="D39" s="12">
        <f>IFERROR('Data Sheet'!C31/HistoricalFS!D34,0)</f>
        <v>0</v>
      </c>
      <c r="E39" s="12">
        <f>IFERROR('Data Sheet'!D31/HistoricalFS!E34,0)</f>
        <v>0</v>
      </c>
      <c r="F39" s="12">
        <f>IFERROR('Data Sheet'!E31/HistoricalFS!F34,0)</f>
        <v>0</v>
      </c>
      <c r="G39" s="12">
        <f>IFERROR('Data Sheet'!F31/HistoricalFS!G34,0)</f>
        <v>0</v>
      </c>
      <c r="H39" s="12">
        <f>IFERROR('Data Sheet'!G31/HistoricalFS!H34,0)</f>
        <v>0</v>
      </c>
      <c r="I39" s="12">
        <f>IFERROR('Data Sheet'!H31/HistoricalFS!I34,0)</f>
        <v>0</v>
      </c>
      <c r="J39" s="12">
        <f>IFERROR('Data Sheet'!I31/HistoricalFS!J34,0)</f>
        <v>2.3063860536536898</v>
      </c>
      <c r="K39" s="12">
        <f>IFERROR('Data Sheet'!J31/HistoricalFS!K34,0)</f>
        <v>6.9230074916508713</v>
      </c>
      <c r="L39" s="12">
        <f>IFERROR('Data Sheet'!K31/HistoricalFS!L34,0)</f>
        <v>5.9978811832776469</v>
      </c>
      <c r="M39" s="12">
        <f>IFERROR('Data Sheet'!L31/HistoricalFS!M34,0)</f>
        <v>0</v>
      </c>
    </row>
    <row r="40" spans="1:13" x14ac:dyDescent="0.35">
      <c r="B40" s="16" t="s">
        <v>80</v>
      </c>
      <c r="C40" s="15">
        <f>IFERROR(C39/C36,0)</f>
        <v>4.9323400874633563E-3</v>
      </c>
      <c r="D40" s="15">
        <f t="shared" ref="D40:M40" si="16">IFERROR(D39/D36,0)</f>
        <v>0</v>
      </c>
      <c r="E40" s="15">
        <f t="shared" si="16"/>
        <v>0</v>
      </c>
      <c r="F40" s="15">
        <f t="shared" si="16"/>
        <v>0</v>
      </c>
      <c r="G40" s="15">
        <f t="shared" si="16"/>
        <v>0</v>
      </c>
      <c r="H40" s="15">
        <f t="shared" si="16"/>
        <v>0</v>
      </c>
      <c r="I40" s="15">
        <f t="shared" si="16"/>
        <v>0</v>
      </c>
      <c r="J40" s="15">
        <f t="shared" si="16"/>
        <v>-0.19275307616818702</v>
      </c>
      <c r="K40" s="15">
        <f t="shared" si="16"/>
        <v>8.517490283176013E-2</v>
      </c>
      <c r="L40" s="15">
        <f t="shared" si="16"/>
        <v>0.13483969465648857</v>
      </c>
      <c r="M40" s="15">
        <f t="shared" si="16"/>
        <v>0</v>
      </c>
    </row>
    <row r="42" spans="1:13" x14ac:dyDescent="0.35">
      <c r="B42" s="8" t="s">
        <v>81</v>
      </c>
      <c r="C42" s="15">
        <f>IFERROR(IF(C36&gt;C39,1-C40,0),0)</f>
        <v>0.99506765991253665</v>
      </c>
      <c r="D42" s="15">
        <f t="shared" ref="D42:M42" si="17">IFERROR(IF(D36&gt;D39,1-D40,0),0)</f>
        <v>1</v>
      </c>
      <c r="E42" s="15">
        <f t="shared" si="17"/>
        <v>1</v>
      </c>
      <c r="F42" s="15">
        <f t="shared" si="17"/>
        <v>0</v>
      </c>
      <c r="G42" s="15">
        <f t="shared" si="17"/>
        <v>0</v>
      </c>
      <c r="H42" s="15">
        <f t="shared" si="17"/>
        <v>0</v>
      </c>
      <c r="I42" s="15">
        <f t="shared" si="17"/>
        <v>0</v>
      </c>
      <c r="J42" s="15">
        <f t="shared" si="17"/>
        <v>0</v>
      </c>
      <c r="K42" s="15">
        <f t="shared" si="17"/>
        <v>0.9148250971682399</v>
      </c>
      <c r="L42" s="15">
        <f t="shared" si="17"/>
        <v>0.8651603053435114</v>
      </c>
      <c r="M42" s="15">
        <f t="shared" si="17"/>
        <v>0</v>
      </c>
    </row>
    <row r="45" spans="1:13" x14ac:dyDescent="0.35">
      <c r="A45" s="17" t="s">
        <v>56</v>
      </c>
      <c r="B45" s="17" t="s">
        <v>82</v>
      </c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</row>
    <row r="46" spans="1:13" x14ac:dyDescent="0.35">
      <c r="B46" s="8" t="s">
        <v>31</v>
      </c>
      <c r="C46" s="12">
        <f>IFERROR('Data Sheet'!B57,0)</f>
        <v>679.18</v>
      </c>
      <c r="D46" s="12">
        <f>IFERROR('Data Sheet'!C57,0)</f>
        <v>679.22</v>
      </c>
      <c r="E46" s="12">
        <f>IFERROR('Data Sheet'!D57,0)</f>
        <v>679.22</v>
      </c>
      <c r="F46" s="12">
        <f>IFERROR('Data Sheet'!E57,0)</f>
        <v>679.22</v>
      </c>
      <c r="G46" s="12">
        <f>IFERROR('Data Sheet'!F57,0)</f>
        <v>719.54</v>
      </c>
      <c r="H46" s="12">
        <f>IFERROR('Data Sheet'!G57,0)</f>
        <v>765.81</v>
      </c>
      <c r="I46" s="12">
        <f>IFERROR('Data Sheet'!H57,0)</f>
        <v>765.88</v>
      </c>
      <c r="J46" s="12">
        <f>IFERROR('Data Sheet'!I57,0)</f>
        <v>766.02</v>
      </c>
      <c r="K46" s="12">
        <f>IFERROR('Data Sheet'!J57,0)</f>
        <v>767</v>
      </c>
      <c r="L46" s="12">
        <f>IFERROR('Data Sheet'!K57,0)</f>
        <v>736</v>
      </c>
      <c r="M46" s="12">
        <f>IFERROR('Data Sheet'!L57,0)</f>
        <v>0</v>
      </c>
    </row>
    <row r="47" spans="1:13" x14ac:dyDescent="0.35">
      <c r="B47" s="8" t="s">
        <v>32</v>
      </c>
      <c r="C47" s="12">
        <f>IFERROR('Data Sheet'!B58,0)</f>
        <v>78273.23</v>
      </c>
      <c r="D47" s="12">
        <f>IFERROR('Data Sheet'!C58,0)</f>
        <v>57382.67</v>
      </c>
      <c r="E47" s="12">
        <f>IFERROR('Data Sheet'!D58,0)</f>
        <v>94748.69</v>
      </c>
      <c r="F47" s="12">
        <f>IFERROR('Data Sheet'!E58,0)</f>
        <v>59500.34</v>
      </c>
      <c r="G47" s="12">
        <f>IFERROR('Data Sheet'!F58,0)</f>
        <v>62358.99</v>
      </c>
      <c r="H47" s="12">
        <f>IFERROR('Data Sheet'!G58,0)</f>
        <v>54480.91</v>
      </c>
      <c r="I47" s="12">
        <f>IFERROR('Data Sheet'!H58,0)</f>
        <v>43795.360000000001</v>
      </c>
      <c r="J47" s="12">
        <f>IFERROR('Data Sheet'!I58,0)</f>
        <v>44555.77</v>
      </c>
      <c r="K47" s="12">
        <f>IFERROR('Data Sheet'!J58,0)</f>
        <v>84151</v>
      </c>
      <c r="L47" s="12">
        <f>IFERROR('Data Sheet'!K58,0)</f>
        <v>115408</v>
      </c>
      <c r="M47" s="12">
        <f>IFERROR('Data Sheet'!L58,0)</f>
        <v>0</v>
      </c>
    </row>
    <row r="48" spans="1:13" x14ac:dyDescent="0.35">
      <c r="B48" s="8" t="s">
        <v>33</v>
      </c>
      <c r="C48" s="12">
        <f>IFERROR('Data Sheet'!B59,0)</f>
        <v>69359.960000000006</v>
      </c>
      <c r="D48" s="12">
        <f>IFERROR('Data Sheet'!C59,0)</f>
        <v>78603.98</v>
      </c>
      <c r="E48" s="12">
        <f>IFERROR('Data Sheet'!D59,0)</f>
        <v>88950.47</v>
      </c>
      <c r="F48" s="12">
        <f>IFERROR('Data Sheet'!E59,0)</f>
        <v>106175.34</v>
      </c>
      <c r="G48" s="12">
        <f>IFERROR('Data Sheet'!F59,0)</f>
        <v>124787.64</v>
      </c>
      <c r="H48" s="12">
        <f>IFERROR('Data Sheet'!G59,0)</f>
        <v>142130.57</v>
      </c>
      <c r="I48" s="12">
        <f>IFERROR('Data Sheet'!H59,0)</f>
        <v>146449.03</v>
      </c>
      <c r="J48" s="12">
        <f>IFERROR('Data Sheet'!I59,0)</f>
        <v>134113.44</v>
      </c>
      <c r="K48" s="12">
        <f>IFERROR('Data Sheet'!J59,0)</f>
        <v>107264</v>
      </c>
      <c r="L48" s="12">
        <f>IFERROR('Data Sheet'!K59,0)</f>
        <v>71540</v>
      </c>
      <c r="M48" s="12">
        <f>IFERROR('Data Sheet'!L59,0)</f>
        <v>0</v>
      </c>
    </row>
    <row r="49" spans="2:14" x14ac:dyDescent="0.35">
      <c r="B49" s="8" t="s">
        <v>34</v>
      </c>
      <c r="C49" s="12">
        <f>IFERROR('Data Sheet'!B60,0)</f>
        <v>114871.75</v>
      </c>
      <c r="D49" s="12">
        <f>IFERROR('Data Sheet'!C60,0)</f>
        <v>135914.49</v>
      </c>
      <c r="E49" s="12">
        <f>IFERROR('Data Sheet'!D60,0)</f>
        <v>142813.43</v>
      </c>
      <c r="F49" s="12">
        <f>IFERROR('Data Sheet'!E60,0)</f>
        <v>139348.59</v>
      </c>
      <c r="G49" s="12">
        <f>IFERROR('Data Sheet'!F60,0)</f>
        <v>132313.22</v>
      </c>
      <c r="H49" s="12">
        <f>IFERROR('Data Sheet'!G60,0)</f>
        <v>144192.62</v>
      </c>
      <c r="I49" s="12">
        <f>IFERROR('Data Sheet'!H60,0)</f>
        <v>138051.22</v>
      </c>
      <c r="J49" s="12">
        <f>IFERROR('Data Sheet'!I60,0)</f>
        <v>155239.20000000001</v>
      </c>
      <c r="K49" s="12">
        <f>IFERROR('Data Sheet'!J60,0)</f>
        <v>177339</v>
      </c>
      <c r="L49" s="12">
        <f>IFERROR('Data Sheet'!K60,0)</f>
        <v>189289</v>
      </c>
      <c r="M49" s="12">
        <f>IFERROR('Data Sheet'!L60,0)</f>
        <v>0</v>
      </c>
    </row>
    <row r="50" spans="2:14" ht="15" thickBot="1" x14ac:dyDescent="0.4">
      <c r="B50" s="23" t="s">
        <v>84</v>
      </c>
      <c r="C50" s="24">
        <f>IFERROR('Data Sheet'!B61,0)</f>
        <v>263184.12</v>
      </c>
      <c r="D50" s="24">
        <f>IFERROR('Data Sheet'!C61,0)</f>
        <v>272580.36</v>
      </c>
      <c r="E50" s="24">
        <f>IFERROR('Data Sheet'!D61,0)</f>
        <v>327191.81</v>
      </c>
      <c r="F50" s="24">
        <f>IFERROR('Data Sheet'!E61,0)</f>
        <v>305703.49</v>
      </c>
      <c r="G50" s="24">
        <f>IFERROR('Data Sheet'!F61,0)</f>
        <v>320179.39</v>
      </c>
      <c r="H50" s="24">
        <f>IFERROR('Data Sheet'!G61,0)</f>
        <v>341569.91</v>
      </c>
      <c r="I50" s="24">
        <f>IFERROR('Data Sheet'!H61,0)</f>
        <v>329061.49</v>
      </c>
      <c r="J50" s="24">
        <f>IFERROR('Data Sheet'!I61,0)</f>
        <v>334674.43</v>
      </c>
      <c r="K50" s="24">
        <f>IFERROR('Data Sheet'!J61,0)</f>
        <v>369521</v>
      </c>
      <c r="L50" s="24">
        <f>IFERROR('Data Sheet'!K61,0)</f>
        <v>376973</v>
      </c>
      <c r="M50" s="24">
        <f>IFERROR('Data Sheet'!L61,0)</f>
        <v>0</v>
      </c>
      <c r="N50" s="11"/>
    </row>
    <row r="52" spans="2:14" x14ac:dyDescent="0.35">
      <c r="B52" s="8" t="s">
        <v>85</v>
      </c>
      <c r="C52" s="12">
        <f>IFERROR('Data Sheet'!B62,0)</f>
        <v>107231.76</v>
      </c>
      <c r="D52" s="12">
        <f>IFERROR('Data Sheet'!C62,0)</f>
        <v>95944.08</v>
      </c>
      <c r="E52" s="12">
        <f>IFERROR('Data Sheet'!D62,0)</f>
        <v>121413.86</v>
      </c>
      <c r="F52" s="12">
        <f>IFERROR('Data Sheet'!E62,0)</f>
        <v>111234.47</v>
      </c>
      <c r="G52" s="12">
        <f>IFERROR('Data Sheet'!F62,0)</f>
        <v>127107.14</v>
      </c>
      <c r="H52" s="12">
        <f>IFERROR('Data Sheet'!G62,0)</f>
        <v>138707.60999999999</v>
      </c>
      <c r="I52" s="12">
        <f>IFERROR('Data Sheet'!H62,0)</f>
        <v>138855.45000000001</v>
      </c>
      <c r="J52" s="12">
        <f>IFERROR('Data Sheet'!I62,0)</f>
        <v>132079.76</v>
      </c>
      <c r="K52" s="12">
        <f>IFERROR('Data Sheet'!J62,0)</f>
        <v>121285</v>
      </c>
      <c r="L52" s="12">
        <f>IFERROR('Data Sheet'!K62,0)</f>
        <v>115697</v>
      </c>
      <c r="M52" s="12">
        <f>IFERROR('Data Sheet'!L62,0)</f>
        <v>0</v>
      </c>
    </row>
    <row r="53" spans="2:14" x14ac:dyDescent="0.35">
      <c r="B53" s="8" t="s">
        <v>37</v>
      </c>
      <c r="C53" s="12">
        <f>IFERROR('Data Sheet'!B63,0)</f>
        <v>25918.94</v>
      </c>
      <c r="D53" s="12">
        <f>IFERROR('Data Sheet'!C63,0)</f>
        <v>33698.839999999997</v>
      </c>
      <c r="E53" s="12">
        <f>IFERROR('Data Sheet'!D63,0)</f>
        <v>40033.5</v>
      </c>
      <c r="F53" s="12">
        <f>IFERROR('Data Sheet'!E63,0)</f>
        <v>31883.84</v>
      </c>
      <c r="G53" s="12">
        <f>IFERROR('Data Sheet'!F63,0)</f>
        <v>35622.29</v>
      </c>
      <c r="H53" s="12">
        <f>IFERROR('Data Sheet'!G63,0)</f>
        <v>20963.93</v>
      </c>
      <c r="I53" s="12">
        <f>IFERROR('Data Sheet'!H63,0)</f>
        <v>10251.09</v>
      </c>
      <c r="J53" s="12">
        <f>IFERROR('Data Sheet'!I63,0)</f>
        <v>14274.5</v>
      </c>
      <c r="K53" s="12">
        <f>IFERROR('Data Sheet'!J63,0)</f>
        <v>35698</v>
      </c>
      <c r="L53" s="12">
        <f>IFERROR('Data Sheet'!K63,0)</f>
        <v>65806</v>
      </c>
      <c r="M53" s="12">
        <f>IFERROR('Data Sheet'!L63,0)</f>
        <v>0</v>
      </c>
    </row>
    <row r="54" spans="2:14" x14ac:dyDescent="0.35">
      <c r="B54" s="8" t="s">
        <v>38</v>
      </c>
      <c r="C54" s="12">
        <f>IFERROR('Data Sheet'!B64,0)</f>
        <v>23767.02</v>
      </c>
      <c r="D54" s="12">
        <f>IFERROR('Data Sheet'!C64,0)</f>
        <v>20337.919999999998</v>
      </c>
      <c r="E54" s="12">
        <f>IFERROR('Data Sheet'!D64,0)</f>
        <v>20812.75</v>
      </c>
      <c r="F54" s="12">
        <f>IFERROR('Data Sheet'!E64,0)</f>
        <v>15770.72</v>
      </c>
      <c r="G54" s="12">
        <f>IFERROR('Data Sheet'!F64,0)</f>
        <v>16308.48</v>
      </c>
      <c r="H54" s="12">
        <f>IFERROR('Data Sheet'!G64,0)</f>
        <v>24620.28</v>
      </c>
      <c r="I54" s="12">
        <f>IFERROR('Data Sheet'!H64,0)</f>
        <v>29379.53</v>
      </c>
      <c r="J54" s="12">
        <f>IFERROR('Data Sheet'!I64,0)</f>
        <v>26379.16</v>
      </c>
      <c r="K54" s="12">
        <f>IFERROR('Data Sheet'!J64,0)</f>
        <v>22971</v>
      </c>
      <c r="L54" s="12">
        <f>IFERROR('Data Sheet'!K64,0)</f>
        <v>35656</v>
      </c>
      <c r="M54" s="12">
        <f>IFERROR('Data Sheet'!L64,0)</f>
        <v>0</v>
      </c>
    </row>
    <row r="55" spans="2:14" x14ac:dyDescent="0.35">
      <c r="B55" s="8" t="s">
        <v>39</v>
      </c>
      <c r="C55" s="12">
        <f>IFERROR('Data Sheet'!B65-SUM('Data Sheet'!B67:B69),0)</f>
        <v>29579.359999999986</v>
      </c>
      <c r="D55" s="12">
        <f>IFERROR('Data Sheet'!C65-SUM('Data Sheet'!C67:C69),0)</f>
        <v>37360.780000000013</v>
      </c>
      <c r="E55" s="12">
        <f>IFERROR('Data Sheet'!D65-SUM('Data Sheet'!D67:D69),0)</f>
        <v>48286.860000000015</v>
      </c>
      <c r="F55" s="12">
        <f>IFERROR('Data Sheet'!E65-SUM('Data Sheet'!E67:E69),0)</f>
        <v>56155.739999999991</v>
      </c>
      <c r="G55" s="12">
        <f>IFERROR('Data Sheet'!F65-SUM('Data Sheet'!F67:F69),0)</f>
        <v>58784.94</v>
      </c>
      <c r="H55" s="12">
        <f>IFERROR('Data Sheet'!G65-SUM('Data Sheet'!G67:G69),0)</f>
        <v>61717.959999999992</v>
      </c>
      <c r="I55" s="12">
        <f>IFERROR('Data Sheet'!H65-SUM('Data Sheet'!H67:H69),0)</f>
        <v>62223.770000000019</v>
      </c>
      <c r="J55" s="12">
        <f>IFERROR('Data Sheet'!I65-SUM('Data Sheet'!I67:I69),0)</f>
        <v>68432.090000000011</v>
      </c>
      <c r="K55" s="12">
        <f>IFERROR('Data Sheet'!J65-SUM('Data Sheet'!J67:J69),0)</f>
        <v>79020</v>
      </c>
      <c r="L55" s="12">
        <f>IFERROR('Data Sheet'!K65-SUM('Data Sheet'!K67:K69),0)</f>
        <v>58463</v>
      </c>
      <c r="M55" s="12">
        <f>IFERROR('Data Sheet'!L65-SUM('Data Sheet'!L67:L69),0)</f>
        <v>0</v>
      </c>
    </row>
    <row r="56" spans="2:14" x14ac:dyDescent="0.35">
      <c r="B56" s="20" t="s">
        <v>86</v>
      </c>
      <c r="C56" s="21">
        <f>IFERROR(SUM(C52:C55),0)</f>
        <v>186497.07999999996</v>
      </c>
      <c r="D56" s="21">
        <f t="shared" ref="D56:M56" si="18">IFERROR(SUM(D52:D55),0)</f>
        <v>187341.62</v>
      </c>
      <c r="E56" s="21">
        <f t="shared" si="18"/>
        <v>230546.97</v>
      </c>
      <c r="F56" s="21">
        <f t="shared" si="18"/>
        <v>215044.77</v>
      </c>
      <c r="G56" s="21">
        <f t="shared" si="18"/>
        <v>237822.85</v>
      </c>
      <c r="H56" s="21">
        <f t="shared" si="18"/>
        <v>246009.77999999997</v>
      </c>
      <c r="I56" s="21">
        <f t="shared" si="18"/>
        <v>240709.84000000003</v>
      </c>
      <c r="J56" s="21">
        <f t="shared" si="18"/>
        <v>241165.51</v>
      </c>
      <c r="K56" s="21">
        <f t="shared" si="18"/>
        <v>258974</v>
      </c>
      <c r="L56" s="21">
        <f t="shared" si="18"/>
        <v>275622</v>
      </c>
      <c r="M56" s="21">
        <f t="shared" si="18"/>
        <v>0</v>
      </c>
      <c r="N56" s="19"/>
    </row>
    <row r="58" spans="2:14" x14ac:dyDescent="0.35">
      <c r="B58" s="8" t="s">
        <v>40</v>
      </c>
      <c r="C58" s="12">
        <f>IFERROR('Data Sheet'!B67,0)</f>
        <v>13570.91</v>
      </c>
      <c r="D58" s="12">
        <f>IFERROR('Data Sheet'!C67,0)</f>
        <v>14075.55</v>
      </c>
      <c r="E58" s="12">
        <f>IFERROR('Data Sheet'!D67,0)</f>
        <v>19893.3</v>
      </c>
      <c r="F58" s="12">
        <f>IFERROR('Data Sheet'!E67,0)</f>
        <v>18996.169999999998</v>
      </c>
      <c r="G58" s="12">
        <f>IFERROR('Data Sheet'!F67,0)</f>
        <v>11172.69</v>
      </c>
      <c r="H58" s="12">
        <f>IFERROR('Data Sheet'!G67,0)</f>
        <v>12679.08</v>
      </c>
      <c r="I58" s="12">
        <f>IFERROR('Data Sheet'!H67,0)</f>
        <v>12442.12</v>
      </c>
      <c r="J58" s="12">
        <f>IFERROR('Data Sheet'!I67,0)</f>
        <v>15737.97</v>
      </c>
      <c r="K58" s="12">
        <f>IFERROR('Data Sheet'!J67,0)</f>
        <v>16952</v>
      </c>
      <c r="L58" s="12">
        <f>IFERROR('Data Sheet'!K67,0)</f>
        <v>13248</v>
      </c>
      <c r="M58" s="12">
        <f>IFERROR('Data Sheet'!L67,0)</f>
        <v>0</v>
      </c>
    </row>
    <row r="59" spans="2:14" x14ac:dyDescent="0.35">
      <c r="B59" s="8" t="s">
        <v>41</v>
      </c>
      <c r="C59" s="12">
        <f>IFERROR('Data Sheet'!B68,0)</f>
        <v>32655.73</v>
      </c>
      <c r="D59" s="12">
        <f>IFERROR('Data Sheet'!C68,0)</f>
        <v>35085.31</v>
      </c>
      <c r="E59" s="12">
        <f>IFERROR('Data Sheet'!D68,0)</f>
        <v>42137.63</v>
      </c>
      <c r="F59" s="12">
        <f>IFERROR('Data Sheet'!E68,0)</f>
        <v>39013.730000000003</v>
      </c>
      <c r="G59" s="12">
        <f>IFERROR('Data Sheet'!F68,0)</f>
        <v>37456.879999999997</v>
      </c>
      <c r="H59" s="12">
        <f>IFERROR('Data Sheet'!G68,0)</f>
        <v>36088.589999999997</v>
      </c>
      <c r="I59" s="12">
        <f>IFERROR('Data Sheet'!H68,0)</f>
        <v>35240.339999999997</v>
      </c>
      <c r="J59" s="12">
        <f>IFERROR('Data Sheet'!I68,0)</f>
        <v>40755.39</v>
      </c>
      <c r="K59" s="12">
        <f>IFERROR('Data Sheet'!J68,0)</f>
        <v>47788</v>
      </c>
      <c r="L59" s="12">
        <f>IFERROR('Data Sheet'!K68,0)</f>
        <v>47269</v>
      </c>
      <c r="M59" s="12">
        <f>IFERROR('Data Sheet'!L68,0)</f>
        <v>0</v>
      </c>
    </row>
    <row r="60" spans="2:14" x14ac:dyDescent="0.35">
      <c r="B60" s="8" t="s">
        <v>42</v>
      </c>
      <c r="C60" s="12">
        <f>IFERROR('Data Sheet'!B69,0)</f>
        <v>30460.400000000001</v>
      </c>
      <c r="D60" s="12">
        <f>IFERROR('Data Sheet'!C69,0)</f>
        <v>36077.879999999997</v>
      </c>
      <c r="E60" s="12">
        <f>IFERROR('Data Sheet'!D69,0)</f>
        <v>34613.910000000003</v>
      </c>
      <c r="F60" s="12">
        <f>IFERROR('Data Sheet'!E69,0)</f>
        <v>32648.82</v>
      </c>
      <c r="G60" s="12">
        <f>IFERROR('Data Sheet'!F69,0)</f>
        <v>33726.97</v>
      </c>
      <c r="H60" s="12">
        <f>IFERROR('Data Sheet'!G69,0)</f>
        <v>46792.46</v>
      </c>
      <c r="I60" s="12">
        <f>IFERROR('Data Sheet'!H69,0)</f>
        <v>40669.19</v>
      </c>
      <c r="J60" s="12">
        <f>IFERROR('Data Sheet'!I69,0)</f>
        <v>37015.56</v>
      </c>
      <c r="K60" s="12">
        <f>IFERROR('Data Sheet'!J69,0)</f>
        <v>45807</v>
      </c>
      <c r="L60" s="12">
        <f>IFERROR('Data Sheet'!K69,0)</f>
        <v>40834</v>
      </c>
      <c r="M60" s="12">
        <f>IFERROR('Data Sheet'!L69,0)</f>
        <v>0</v>
      </c>
    </row>
    <row r="61" spans="2:14" x14ac:dyDescent="0.35">
      <c r="B61" s="20" t="s">
        <v>87</v>
      </c>
      <c r="C61" s="21">
        <f>IFERROR(SUM(C58:C60),0)</f>
        <v>76687.040000000008</v>
      </c>
      <c r="D61" s="21">
        <f t="shared" ref="D61:M61" si="19">IFERROR(SUM(D58:D60),0)</f>
        <v>85238.739999999991</v>
      </c>
      <c r="E61" s="21">
        <f t="shared" si="19"/>
        <v>96644.84</v>
      </c>
      <c r="F61" s="21">
        <f t="shared" si="19"/>
        <v>90658.72</v>
      </c>
      <c r="G61" s="21">
        <f t="shared" si="19"/>
        <v>82356.540000000008</v>
      </c>
      <c r="H61" s="21">
        <f t="shared" si="19"/>
        <v>95560.13</v>
      </c>
      <c r="I61" s="21">
        <f t="shared" si="19"/>
        <v>88351.65</v>
      </c>
      <c r="J61" s="21">
        <f t="shared" si="19"/>
        <v>93508.92</v>
      </c>
      <c r="K61" s="21">
        <f t="shared" si="19"/>
        <v>110547</v>
      </c>
      <c r="L61" s="21">
        <f t="shared" si="19"/>
        <v>101351</v>
      </c>
      <c r="M61" s="21">
        <f t="shared" si="19"/>
        <v>0</v>
      </c>
    </row>
    <row r="63" spans="2:14" ht="15" thickBot="1" x14ac:dyDescent="0.4">
      <c r="B63" s="23" t="s">
        <v>83</v>
      </c>
      <c r="C63" s="24">
        <f>IFERROR(SUM(C61,C56),0)</f>
        <v>263184.12</v>
      </c>
      <c r="D63" s="24">
        <f t="shared" ref="D63:M63" si="20">IFERROR(SUM(D61,D56),0)</f>
        <v>272580.36</v>
      </c>
      <c r="E63" s="24">
        <f t="shared" si="20"/>
        <v>327191.81</v>
      </c>
      <c r="F63" s="24">
        <f t="shared" si="20"/>
        <v>305703.49</v>
      </c>
      <c r="G63" s="24">
        <f t="shared" si="20"/>
        <v>320179.39</v>
      </c>
      <c r="H63" s="24">
        <f t="shared" si="20"/>
        <v>341569.91</v>
      </c>
      <c r="I63" s="24">
        <f t="shared" si="20"/>
        <v>329061.49</v>
      </c>
      <c r="J63" s="24">
        <f t="shared" si="20"/>
        <v>334674.43</v>
      </c>
      <c r="K63" s="24">
        <f t="shared" si="20"/>
        <v>369521</v>
      </c>
      <c r="L63" s="24">
        <f t="shared" si="20"/>
        <v>376973</v>
      </c>
      <c r="M63" s="24">
        <f t="shared" si="20"/>
        <v>0</v>
      </c>
    </row>
    <row r="65" spans="1:13" x14ac:dyDescent="0.35">
      <c r="B65" s="16" t="s">
        <v>88</v>
      </c>
      <c r="C65" s="16" t="b">
        <f>C63=C50</f>
        <v>1</v>
      </c>
      <c r="D65" s="16" t="b">
        <f t="shared" ref="D65:M65" si="21">D63=D50</f>
        <v>1</v>
      </c>
      <c r="E65" s="16" t="b">
        <f t="shared" si="21"/>
        <v>1</v>
      </c>
      <c r="F65" s="16" t="b">
        <f t="shared" si="21"/>
        <v>1</v>
      </c>
      <c r="G65" s="16" t="b">
        <f t="shared" si="21"/>
        <v>1</v>
      </c>
      <c r="H65" s="16" t="b">
        <f t="shared" si="21"/>
        <v>1</v>
      </c>
      <c r="I65" s="16" t="b">
        <f t="shared" si="21"/>
        <v>1</v>
      </c>
      <c r="J65" s="16" t="b">
        <f t="shared" si="21"/>
        <v>1</v>
      </c>
      <c r="K65" s="16" t="b">
        <f t="shared" si="21"/>
        <v>1</v>
      </c>
      <c r="L65" s="16" t="b">
        <f t="shared" si="21"/>
        <v>1</v>
      </c>
      <c r="M65" s="16" t="b">
        <f t="shared" si="21"/>
        <v>1</v>
      </c>
    </row>
    <row r="68" spans="1:13" x14ac:dyDescent="0.35">
      <c r="A68" s="17" t="s">
        <v>56</v>
      </c>
      <c r="B68" s="17" t="s">
        <v>117</v>
      </c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</row>
    <row r="69" spans="1:13" x14ac:dyDescent="0.35">
      <c r="B69" s="11" t="s">
        <v>118</v>
      </c>
    </row>
    <row r="70" spans="1:13" x14ac:dyDescent="0.35">
      <c r="B70" s="11" t="s">
        <v>89</v>
      </c>
      <c r="C70" s="12">
        <f>IFERROR('Raw Cash Flow Data'!E4,0)</f>
        <v>38626</v>
      </c>
      <c r="D70" s="12">
        <f>IFERROR('Raw Cash Flow Data'!F4,0)</f>
        <v>28840</v>
      </c>
      <c r="E70" s="12">
        <f>IFERROR('Raw Cash Flow Data'!G4,0)</f>
        <v>33312</v>
      </c>
      <c r="F70" s="12">
        <f>IFERROR('Raw Cash Flow Data'!H4,0)</f>
        <v>28771</v>
      </c>
      <c r="G70" s="12">
        <f>IFERROR('Raw Cash Flow Data'!I4,0)</f>
        <v>23352</v>
      </c>
      <c r="H70" s="12">
        <f>IFERROR('Raw Cash Flow Data'!J4,0)</f>
        <v>31198</v>
      </c>
      <c r="I70" s="12">
        <f>IFERROR('Raw Cash Flow Data'!K4,0)</f>
        <v>26943</v>
      </c>
      <c r="J70" s="12">
        <f>IFERROR('Raw Cash Flow Data'!L4,0)</f>
        <v>41694</v>
      </c>
      <c r="K70" s="12">
        <f>IFERROR('Raw Cash Flow Data'!M4,0)</f>
        <v>65106</v>
      </c>
      <c r="L70" s="12">
        <f>IFERROR('Raw Cash Flow Data'!N4,0)</f>
        <v>58937</v>
      </c>
    </row>
    <row r="71" spans="1:13" x14ac:dyDescent="0.35">
      <c r="B71" s="11" t="s">
        <v>160</v>
      </c>
    </row>
    <row r="72" spans="1:13" x14ac:dyDescent="0.35">
      <c r="B72" s="8" t="s">
        <v>40</v>
      </c>
      <c r="C72" s="12">
        <f>IFERROR('Raw Cash Flow Data'!E5,0)</f>
        <v>-2223</v>
      </c>
      <c r="D72" s="12">
        <f>IFERROR('Raw Cash Flow Data'!F5,0)</f>
        <v>-4152</v>
      </c>
      <c r="E72" s="12">
        <f>IFERROR('Raw Cash Flow Data'!G5,0)</f>
        <v>-10688</v>
      </c>
      <c r="F72" s="12">
        <f>IFERROR('Raw Cash Flow Data'!H5,0)</f>
        <v>-9109</v>
      </c>
      <c r="G72" s="12">
        <f>IFERROR('Raw Cash Flow Data'!I5,0)</f>
        <v>9950</v>
      </c>
      <c r="H72" s="12">
        <f>IFERROR('Raw Cash Flow Data'!J5,0)</f>
        <v>-5505</v>
      </c>
      <c r="I72" s="12">
        <f>IFERROR('Raw Cash Flow Data'!K5,0)</f>
        <v>185</v>
      </c>
      <c r="J72" s="12">
        <f>IFERROR('Raw Cash Flow Data'!L5,0)</f>
        <v>-2213</v>
      </c>
      <c r="K72" s="12">
        <f>IFERROR('Raw Cash Flow Data'!M5,0)</f>
        <v>-1876</v>
      </c>
      <c r="L72" s="12">
        <f>IFERROR('Raw Cash Flow Data'!N5,0)</f>
        <v>3573</v>
      </c>
    </row>
    <row r="73" spans="1:13" x14ac:dyDescent="0.35">
      <c r="B73" s="8" t="s">
        <v>41</v>
      </c>
      <c r="C73" s="12">
        <f>IFERROR('Raw Cash Flow Data'!E6,0)</f>
        <v>-5743</v>
      </c>
      <c r="D73" s="12">
        <f>IFERROR('Raw Cash Flow Data'!F6,0)</f>
        <v>-6621</v>
      </c>
      <c r="E73" s="12">
        <f>IFERROR('Raw Cash Flow Data'!G6,0)</f>
        <v>-3560</v>
      </c>
      <c r="F73" s="12">
        <f>IFERROR('Raw Cash Flow Data'!H6,0)</f>
        <v>2069</v>
      </c>
      <c r="G73" s="12">
        <f>IFERROR('Raw Cash Flow Data'!I6,0)</f>
        <v>2326</v>
      </c>
      <c r="H73" s="12">
        <f>IFERROR('Raw Cash Flow Data'!J6,0)</f>
        <v>3814</v>
      </c>
      <c r="I73" s="12">
        <f>IFERROR('Raw Cash Flow Data'!K6,0)</f>
        <v>472</v>
      </c>
      <c r="J73" s="12">
        <f>IFERROR('Raw Cash Flow Data'!L6,0)</f>
        <v>-5665</v>
      </c>
      <c r="K73" s="12">
        <f>IFERROR('Raw Cash Flow Data'!M6,0)</f>
        <v>-7265</v>
      </c>
      <c r="L73" s="12">
        <f>IFERROR('Raw Cash Flow Data'!N6,0)</f>
        <v>2127</v>
      </c>
    </row>
    <row r="74" spans="1:13" x14ac:dyDescent="0.35">
      <c r="B74" s="8" t="s">
        <v>90</v>
      </c>
      <c r="C74" s="12">
        <f>IFERROR('Raw Cash Flow Data'!E7,0)</f>
        <v>3947</v>
      </c>
      <c r="D74" s="12">
        <f>IFERROR('Raw Cash Flow Data'!F7,0)</f>
        <v>9301</v>
      </c>
      <c r="E74" s="12">
        <f>IFERROR('Raw Cash Flow Data'!G7,0)</f>
        <v>7320</v>
      </c>
      <c r="F74" s="12">
        <f>IFERROR('Raw Cash Flow Data'!H7,0)</f>
        <v>-4692</v>
      </c>
      <c r="G74" s="12">
        <f>IFERROR('Raw Cash Flow Data'!I7,0)</f>
        <v>-8085</v>
      </c>
      <c r="H74" s="12">
        <f>IFERROR('Raw Cash Flow Data'!J7,0)</f>
        <v>5748</v>
      </c>
      <c r="I74" s="12">
        <f>IFERROR('Raw Cash Flow Data'!K7,0)</f>
        <v>-7012</v>
      </c>
      <c r="J74" s="12">
        <f>IFERROR('Raw Cash Flow Data'!L7,0)</f>
        <v>6945</v>
      </c>
      <c r="K74" s="12">
        <f>IFERROR('Raw Cash Flow Data'!M7,0)</f>
        <v>13706</v>
      </c>
      <c r="L74" s="12">
        <f>IFERROR('Raw Cash Flow Data'!N7,0)</f>
        <v>1303</v>
      </c>
    </row>
    <row r="75" spans="1:13" x14ac:dyDescent="0.35">
      <c r="B75" s="8" t="s">
        <v>91</v>
      </c>
      <c r="C75" s="12">
        <f>IFERROR('Raw Cash Flow Data'!E8,0)</f>
        <v>-520</v>
      </c>
      <c r="D75" s="12">
        <f>IFERROR('Raw Cash Flow Data'!F8,0)</f>
        <v>0</v>
      </c>
      <c r="E75" s="12">
        <f>IFERROR('Raw Cash Flow Data'!G8,0)</f>
        <v>0</v>
      </c>
      <c r="F75" s="12">
        <f>IFERROR('Raw Cash Flow Data'!H8,0)</f>
        <v>0</v>
      </c>
      <c r="G75" s="12">
        <f>IFERROR('Raw Cash Flow Data'!I8,0)</f>
        <v>0</v>
      </c>
      <c r="H75" s="12">
        <f>IFERROR('Raw Cash Flow Data'!J8,0)</f>
        <v>0</v>
      </c>
      <c r="I75" s="12">
        <f>IFERROR('Raw Cash Flow Data'!K8,0)</f>
        <v>0</v>
      </c>
      <c r="J75" s="12">
        <f>IFERROR('Raw Cash Flow Data'!L8,0)</f>
        <v>0</v>
      </c>
      <c r="K75" s="12">
        <f>IFERROR('Raw Cash Flow Data'!M8,0)</f>
        <v>0</v>
      </c>
      <c r="L75" s="12">
        <f>IFERROR('Raw Cash Flow Data'!N8,0)</f>
        <v>0</v>
      </c>
    </row>
    <row r="76" spans="1:13" x14ac:dyDescent="0.35">
      <c r="B76" s="8" t="s">
        <v>92</v>
      </c>
      <c r="C76" s="12">
        <f>IFERROR('Raw Cash Flow Data'!E9,0)</f>
        <v>0</v>
      </c>
      <c r="D76" s="12">
        <f>IFERROR('Raw Cash Flow Data'!F9,0)</f>
        <v>0</v>
      </c>
      <c r="E76" s="12">
        <f>IFERROR('Raw Cash Flow Data'!G9,0)</f>
        <v>0</v>
      </c>
      <c r="F76" s="12">
        <f>IFERROR('Raw Cash Flow Data'!H9,0)</f>
        <v>0</v>
      </c>
      <c r="G76" s="12">
        <f>IFERROR('Raw Cash Flow Data'!I9,0)</f>
        <v>0</v>
      </c>
      <c r="H76" s="12">
        <f>IFERROR('Raw Cash Flow Data'!J9,0)</f>
        <v>0</v>
      </c>
      <c r="I76" s="12">
        <f>IFERROR('Raw Cash Flow Data'!K9,0)</f>
        <v>0</v>
      </c>
      <c r="J76" s="12">
        <f>IFERROR('Raw Cash Flow Data'!L9,0)</f>
        <v>0</v>
      </c>
      <c r="K76" s="12">
        <f>IFERROR('Raw Cash Flow Data'!M9,0)</f>
        <v>0</v>
      </c>
      <c r="L76" s="12">
        <f>IFERROR('Raw Cash Flow Data'!N9,0)</f>
        <v>0</v>
      </c>
    </row>
    <row r="77" spans="1:13" x14ac:dyDescent="0.35">
      <c r="B77" s="11" t="s">
        <v>94</v>
      </c>
      <c r="C77" s="12">
        <f>IFERROR('Raw Cash Flow Data'!E11,0)</f>
        <v>-2040</v>
      </c>
      <c r="D77" s="12">
        <f>IFERROR('Raw Cash Flow Data'!F11,0)</f>
        <v>-1895</v>
      </c>
      <c r="E77" s="12">
        <f>IFERROR('Raw Cash Flow Data'!G11,0)</f>
        <v>-3021</v>
      </c>
      <c r="F77" s="12">
        <f>IFERROR('Raw Cash Flow Data'!H11,0)</f>
        <v>-2659</v>
      </c>
      <c r="G77" s="12">
        <f>IFERROR('Raw Cash Flow Data'!I11,0)</f>
        <v>-1785</v>
      </c>
      <c r="H77" s="12">
        <f>IFERROR('Raw Cash Flow Data'!J11,0)</f>
        <v>-2105</v>
      </c>
      <c r="I77" s="12">
        <f>IFERROR('Raw Cash Flow Data'!K11,0)</f>
        <v>-1910</v>
      </c>
      <c r="J77" s="12">
        <f>IFERROR('Raw Cash Flow Data'!L11,0)</f>
        <v>-3179</v>
      </c>
      <c r="K77" s="12">
        <f>IFERROR('Raw Cash Flow Data'!M11,0)</f>
        <v>-4516</v>
      </c>
      <c r="L77" s="12">
        <f>IFERROR('Raw Cash Flow Data'!N11,0)</f>
        <v>-3991</v>
      </c>
    </row>
    <row r="78" spans="1:13" x14ac:dyDescent="0.35">
      <c r="B78" s="20" t="s">
        <v>119</v>
      </c>
      <c r="C78" s="21">
        <f>IFERROR(SUM(C70:C77),0)</f>
        <v>32047</v>
      </c>
      <c r="D78" s="21">
        <f t="shared" ref="D78:L78" si="22">IFERROR(SUM(D70:D77),0)</f>
        <v>25473</v>
      </c>
      <c r="E78" s="21">
        <f t="shared" si="22"/>
        <v>23363</v>
      </c>
      <c r="F78" s="21">
        <f t="shared" si="22"/>
        <v>14380</v>
      </c>
      <c r="G78" s="21">
        <f t="shared" si="22"/>
        <v>25758</v>
      </c>
      <c r="H78" s="21">
        <f t="shared" si="22"/>
        <v>33150</v>
      </c>
      <c r="I78" s="21">
        <f t="shared" si="22"/>
        <v>18678</v>
      </c>
      <c r="J78" s="21">
        <f t="shared" si="22"/>
        <v>37582</v>
      </c>
      <c r="K78" s="21">
        <f t="shared" si="22"/>
        <v>65155</v>
      </c>
      <c r="L78" s="21">
        <f t="shared" si="22"/>
        <v>61949</v>
      </c>
      <c r="M78" s="22"/>
    </row>
    <row r="80" spans="1:13" x14ac:dyDescent="0.35">
      <c r="B80" s="11" t="s">
        <v>121</v>
      </c>
    </row>
    <row r="81" spans="2:12" x14ac:dyDescent="0.35">
      <c r="B81" s="8" t="s">
        <v>95</v>
      </c>
      <c r="C81" s="12">
        <f>IFERROR('Raw Cash Flow Data'!E13,0)</f>
        <v>-31503</v>
      </c>
      <c r="D81" s="12">
        <f>IFERROR('Raw Cash Flow Data'!F13,0)</f>
        <v>-16072</v>
      </c>
      <c r="E81" s="12">
        <f>IFERROR('Raw Cash Flow Data'!G13,0)</f>
        <v>-35079</v>
      </c>
      <c r="F81" s="12">
        <f>IFERROR('Raw Cash Flow Data'!H13,0)</f>
        <v>-35304</v>
      </c>
      <c r="G81" s="12">
        <f>IFERROR('Raw Cash Flow Data'!I13,0)</f>
        <v>-29702</v>
      </c>
      <c r="H81" s="12">
        <f>IFERROR('Raw Cash Flow Data'!J13,0)</f>
        <v>-20205</v>
      </c>
      <c r="I81" s="12">
        <f>IFERROR('Raw Cash Flow Data'!K13,0)</f>
        <v>-15168</v>
      </c>
      <c r="J81" s="12">
        <f>IFERROR('Raw Cash Flow Data'!L13,0)</f>
        <v>-19230</v>
      </c>
      <c r="K81" s="12">
        <f>IFERROR('Raw Cash Flow Data'!M13,0)</f>
        <v>-31414</v>
      </c>
      <c r="L81" s="12">
        <f>IFERROR('Raw Cash Flow Data'!N13,0)</f>
        <v>-38042</v>
      </c>
    </row>
    <row r="82" spans="2:12" x14ac:dyDescent="0.35">
      <c r="B82" s="8" t="s">
        <v>96</v>
      </c>
      <c r="C82" s="12">
        <f>IFERROR('Raw Cash Flow Data'!E14,0)</f>
        <v>59</v>
      </c>
      <c r="D82" s="12">
        <f>IFERROR('Raw Cash Flow Data'!F14,0)</f>
        <v>53</v>
      </c>
      <c r="E82" s="12">
        <f>IFERROR('Raw Cash Flow Data'!G14,0)</f>
        <v>30</v>
      </c>
      <c r="F82" s="12">
        <f>IFERROR('Raw Cash Flow Data'!H14,0)</f>
        <v>67</v>
      </c>
      <c r="G82" s="12">
        <f>IFERROR('Raw Cash Flow Data'!I14,0)</f>
        <v>171</v>
      </c>
      <c r="H82" s="12">
        <f>IFERROR('Raw Cash Flow Data'!J14,0)</f>
        <v>351</v>
      </c>
      <c r="I82" s="12">
        <f>IFERROR('Raw Cash Flow Data'!K14,0)</f>
        <v>230</v>
      </c>
      <c r="J82" s="12">
        <f>IFERROR('Raw Cash Flow Data'!L14,0)</f>
        <v>285</v>
      </c>
      <c r="K82" s="12">
        <f>IFERROR('Raw Cash Flow Data'!M14,0)</f>
        <v>231</v>
      </c>
      <c r="L82" s="12">
        <f>IFERROR('Raw Cash Flow Data'!N14,0)</f>
        <v>974</v>
      </c>
    </row>
    <row r="83" spans="2:12" x14ac:dyDescent="0.35">
      <c r="B83" s="8" t="s">
        <v>97</v>
      </c>
      <c r="C83" s="12">
        <f>IFERROR('Raw Cash Flow Data'!E15,0)</f>
        <v>-4728</v>
      </c>
      <c r="D83" s="12">
        <f>IFERROR('Raw Cash Flow Data'!F15,0)</f>
        <v>-6</v>
      </c>
      <c r="E83" s="12">
        <f>IFERROR('Raw Cash Flow Data'!G15,0)</f>
        <v>-329</v>
      </c>
      <c r="F83" s="12">
        <f>IFERROR('Raw Cash Flow Data'!H15,0)</f>
        <v>-130</v>
      </c>
      <c r="G83" s="12">
        <f>IFERROR('Raw Cash Flow Data'!I15,0)</f>
        <v>-1439</v>
      </c>
      <c r="H83" s="12">
        <f>IFERROR('Raw Cash Flow Data'!J15,0)</f>
        <v>-7530</v>
      </c>
      <c r="I83" s="12">
        <f>IFERROR('Raw Cash Flow Data'!K15,0)</f>
        <v>-3008</v>
      </c>
      <c r="J83" s="12">
        <f>IFERROR('Raw Cash Flow Data'!L15,0)</f>
        <v>-50</v>
      </c>
      <c r="K83" s="12">
        <f>IFERROR('Raw Cash Flow Data'!M15,0)</f>
        <v>-74</v>
      </c>
      <c r="L83" s="12">
        <f>IFERROR('Raw Cash Flow Data'!N15,0)</f>
        <v>-12677</v>
      </c>
    </row>
    <row r="84" spans="2:12" x14ac:dyDescent="0.35">
      <c r="B84" s="8" t="s">
        <v>98</v>
      </c>
      <c r="C84" s="12">
        <f>IFERROR('Raw Cash Flow Data'!E16,0)</f>
        <v>89</v>
      </c>
      <c r="D84" s="12">
        <f>IFERROR('Raw Cash Flow Data'!F16,0)</f>
        <v>1965</v>
      </c>
      <c r="E84" s="12">
        <f>IFERROR('Raw Cash Flow Data'!G16,0)</f>
        <v>2381</v>
      </c>
      <c r="F84" s="12">
        <f>IFERROR('Raw Cash Flow Data'!H16,0)</f>
        <v>5644</v>
      </c>
      <c r="G84" s="12">
        <f>IFERROR('Raw Cash Flow Data'!I16,0)</f>
        <v>21</v>
      </c>
      <c r="H84" s="12">
        <f>IFERROR('Raw Cash Flow Data'!J16,0)</f>
        <v>226</v>
      </c>
      <c r="I84" s="12">
        <f>IFERROR('Raw Cash Flow Data'!K16,0)</f>
        <v>104</v>
      </c>
      <c r="J84" s="12">
        <f>IFERROR('Raw Cash Flow Data'!L16,0)</f>
        <v>6895</v>
      </c>
      <c r="K84" s="12">
        <f>IFERROR('Raw Cash Flow Data'!M16,0)</f>
        <v>10821</v>
      </c>
      <c r="L84" s="12">
        <f>IFERROR('Raw Cash Flow Data'!N16,0)</f>
        <v>111</v>
      </c>
    </row>
    <row r="85" spans="2:12" x14ac:dyDescent="0.35">
      <c r="B85" s="8" t="s">
        <v>99</v>
      </c>
      <c r="C85" s="12">
        <f>IFERROR('Raw Cash Flow Data'!E17,0)</f>
        <v>731</v>
      </c>
      <c r="D85" s="12">
        <f>IFERROR('Raw Cash Flow Data'!F17,0)</f>
        <v>638</v>
      </c>
      <c r="E85" s="12">
        <f>IFERROR('Raw Cash Flow Data'!G17,0)</f>
        <v>690</v>
      </c>
      <c r="F85" s="12">
        <f>IFERROR('Raw Cash Flow Data'!H17,0)</f>
        <v>761</v>
      </c>
      <c r="G85" s="12">
        <f>IFERROR('Raw Cash Flow Data'!I17,0)</f>
        <v>1104</v>
      </c>
      <c r="H85" s="12">
        <f>IFERROR('Raw Cash Flow Data'!J17,0)</f>
        <v>428</v>
      </c>
      <c r="I85" s="12">
        <f>IFERROR('Raw Cash Flow Data'!K17,0)</f>
        <v>653</v>
      </c>
      <c r="J85" s="12">
        <f>IFERROR('Raw Cash Flow Data'!L17,0)</f>
        <v>973</v>
      </c>
      <c r="K85" s="12">
        <f>IFERROR('Raw Cash Flow Data'!M17,0)</f>
        <v>2493</v>
      </c>
      <c r="L85" s="12">
        <f>IFERROR('Raw Cash Flow Data'!N17,0)</f>
        <v>2420</v>
      </c>
    </row>
    <row r="86" spans="2:12" x14ac:dyDescent="0.35">
      <c r="B86" s="8" t="s">
        <v>100</v>
      </c>
      <c r="C86" s="12">
        <f>IFERROR('Raw Cash Flow Data'!E18,0)</f>
        <v>58</v>
      </c>
      <c r="D86" s="12">
        <f>IFERROR('Raw Cash Flow Data'!F18,0)</f>
        <v>620</v>
      </c>
      <c r="E86" s="12">
        <f>IFERROR('Raw Cash Flow Data'!G18,0)</f>
        <v>1797</v>
      </c>
      <c r="F86" s="12">
        <f>IFERROR('Raw Cash Flow Data'!H18,0)</f>
        <v>232</v>
      </c>
      <c r="G86" s="12">
        <f>IFERROR('Raw Cash Flow Data'!I18,0)</f>
        <v>21</v>
      </c>
      <c r="H86" s="12">
        <f>IFERROR('Raw Cash Flow Data'!J18,0)</f>
        <v>18</v>
      </c>
      <c r="I86" s="12">
        <f>IFERROR('Raw Cash Flow Data'!K18,0)</f>
        <v>32</v>
      </c>
      <c r="J86" s="12">
        <f>IFERROR('Raw Cash Flow Data'!L18,0)</f>
        <v>46</v>
      </c>
      <c r="K86" s="12">
        <f>IFERROR('Raw Cash Flow Data'!M18,0)</f>
        <v>47</v>
      </c>
      <c r="L86" s="12">
        <f>IFERROR('Raw Cash Flow Data'!N18,0)</f>
        <v>64</v>
      </c>
    </row>
    <row r="87" spans="2:12" x14ac:dyDescent="0.35">
      <c r="B87" s="8" t="s">
        <v>101</v>
      </c>
      <c r="C87" s="12">
        <f>IFERROR('Raw Cash Flow Data'!E19,0)</f>
        <v>0</v>
      </c>
      <c r="D87" s="12">
        <f>IFERROR('Raw Cash Flow Data'!F19,0)</f>
        <v>-107</v>
      </c>
      <c r="E87" s="12">
        <f>IFERROR('Raw Cash Flow Data'!G19,0)</f>
        <v>-4</v>
      </c>
      <c r="F87" s="12">
        <f>IFERROR('Raw Cash Flow Data'!H19,0)</f>
        <v>-9</v>
      </c>
      <c r="G87" s="12">
        <f>IFERROR('Raw Cash Flow Data'!I19,0)</f>
        <v>-606</v>
      </c>
      <c r="H87" s="12">
        <f>IFERROR('Raw Cash Flow Data'!J19,0)</f>
        <v>-10</v>
      </c>
      <c r="I87" s="12">
        <f>IFERROR('Raw Cash Flow Data'!K19,0)</f>
        <v>0</v>
      </c>
      <c r="J87" s="12">
        <f>IFERROR('Raw Cash Flow Data'!L19,0)</f>
        <v>0</v>
      </c>
      <c r="K87" s="12">
        <f>IFERROR('Raw Cash Flow Data'!M19,0)</f>
        <v>-150</v>
      </c>
      <c r="L87" s="12">
        <f>IFERROR('Raw Cash Flow Data'!N19,0)</f>
        <v>0</v>
      </c>
    </row>
    <row r="88" spans="2:12" x14ac:dyDescent="0.35">
      <c r="B88" s="8" t="s">
        <v>102</v>
      </c>
      <c r="C88" s="12">
        <f>IFERROR('Raw Cash Flow Data'!E20,0)</f>
        <v>0</v>
      </c>
      <c r="D88" s="12">
        <f>IFERROR('Raw Cash Flow Data'!F20,0)</f>
        <v>0</v>
      </c>
      <c r="E88" s="12">
        <f>IFERROR('Raw Cash Flow Data'!G20,0)</f>
        <v>14</v>
      </c>
      <c r="F88" s="12">
        <f>IFERROR('Raw Cash Flow Data'!H20,0)</f>
        <v>533</v>
      </c>
      <c r="G88" s="12">
        <f>IFERROR('Raw Cash Flow Data'!I20,0)</f>
        <v>0</v>
      </c>
      <c r="H88" s="12">
        <f>IFERROR('Raw Cash Flow Data'!J20,0)</f>
        <v>0</v>
      </c>
      <c r="I88" s="12">
        <f>IFERROR('Raw Cash Flow Data'!K20,0)</f>
        <v>0</v>
      </c>
      <c r="J88" s="12">
        <f>IFERROR('Raw Cash Flow Data'!L20,0)</f>
        <v>19</v>
      </c>
      <c r="K88" s="12">
        <f>IFERROR('Raw Cash Flow Data'!M20,0)</f>
        <v>107</v>
      </c>
      <c r="L88" s="12">
        <f>IFERROR('Raw Cash Flow Data'!N20,0)</f>
        <v>765</v>
      </c>
    </row>
    <row r="89" spans="2:12" x14ac:dyDescent="0.35">
      <c r="B89" s="8" t="s">
        <v>103</v>
      </c>
      <c r="C89" s="12">
        <f>IFERROR('Raw Cash Flow Data'!E21,0)</f>
        <v>-111</v>
      </c>
      <c r="D89" s="12">
        <f>IFERROR('Raw Cash Flow Data'!F21,0)</f>
        <v>0</v>
      </c>
      <c r="E89" s="12">
        <f>IFERROR('Raw Cash Flow Data'!G21,0)</f>
        <v>0</v>
      </c>
      <c r="F89" s="12">
        <f>IFERROR('Raw Cash Flow Data'!H21,0)</f>
        <v>-8</v>
      </c>
      <c r="G89" s="12">
        <f>IFERROR('Raw Cash Flow Data'!I21,0)</f>
        <v>-27</v>
      </c>
      <c r="H89" s="12">
        <f>IFERROR('Raw Cash Flow Data'!J21,0)</f>
        <v>0</v>
      </c>
      <c r="I89" s="12">
        <f>IFERROR('Raw Cash Flow Data'!K21,0)</f>
        <v>-98</v>
      </c>
      <c r="J89" s="12">
        <f>IFERROR('Raw Cash Flow Data'!L21,0)</f>
        <v>0</v>
      </c>
      <c r="K89" s="12">
        <f>IFERROR('Raw Cash Flow Data'!M21,0)</f>
        <v>0</v>
      </c>
      <c r="L89" s="12">
        <f>IFERROR('Raw Cash Flow Data'!N21,0)</f>
        <v>-688</v>
      </c>
    </row>
    <row r="90" spans="2:12" x14ac:dyDescent="0.35">
      <c r="B90" s="8" t="s">
        <v>104</v>
      </c>
      <c r="C90" s="12">
        <f>IFERROR('Raw Cash Flow Data'!E22,0)</f>
        <v>0</v>
      </c>
      <c r="D90" s="12">
        <f>IFERROR('Raw Cash Flow Data'!F22,0)</f>
        <v>0</v>
      </c>
      <c r="E90" s="12">
        <f>IFERROR('Raw Cash Flow Data'!G22,0)</f>
        <v>0</v>
      </c>
      <c r="F90" s="12">
        <f>IFERROR('Raw Cash Flow Data'!H22,0)</f>
        <v>0</v>
      </c>
      <c r="G90" s="12">
        <f>IFERROR('Raw Cash Flow Data'!I22,0)</f>
        <v>0</v>
      </c>
      <c r="H90" s="12">
        <f>IFERROR('Raw Cash Flow Data'!J22,0)</f>
        <v>0</v>
      </c>
      <c r="I90" s="12">
        <f>IFERROR('Raw Cash Flow Data'!K22,0)</f>
        <v>0</v>
      </c>
      <c r="J90" s="12">
        <f>IFERROR('Raw Cash Flow Data'!L22,0)</f>
        <v>0</v>
      </c>
      <c r="K90" s="12">
        <f>IFERROR('Raw Cash Flow Data'!M22,0)</f>
        <v>-25</v>
      </c>
      <c r="L90" s="12">
        <f>IFERROR('Raw Cash Flow Data'!N22,0)</f>
        <v>-20</v>
      </c>
    </row>
    <row r="91" spans="2:12" x14ac:dyDescent="0.35">
      <c r="B91" s="8" t="s">
        <v>105</v>
      </c>
      <c r="C91" s="12">
        <f>IFERROR('Raw Cash Flow Data'!E23,0)</f>
        <v>-1289</v>
      </c>
      <c r="D91" s="12">
        <f>IFERROR('Raw Cash Flow Data'!F23,0)</f>
        <v>-26663</v>
      </c>
      <c r="E91" s="12">
        <f>IFERROR('Raw Cash Flow Data'!G23,0)</f>
        <v>5360</v>
      </c>
      <c r="F91" s="12">
        <f>IFERROR('Raw Cash Flow Data'!H23,0)</f>
        <v>7335</v>
      </c>
      <c r="G91" s="12">
        <f>IFERROR('Raw Cash Flow Data'!I23,0)</f>
        <v>-2659</v>
      </c>
      <c r="H91" s="12">
        <f>IFERROR('Raw Cash Flow Data'!J23,0)</f>
        <v>1051</v>
      </c>
      <c r="I91" s="12">
        <f>IFERROR('Raw Cash Flow Data'!K23,0)</f>
        <v>12813</v>
      </c>
      <c r="J91" s="12">
        <f>IFERROR('Raw Cash Flow Data'!L23,0)</f>
        <v>-4357</v>
      </c>
      <c r="K91" s="12">
        <f>IFERROR('Raw Cash Flow Data'!M23,0)</f>
        <v>-4817</v>
      </c>
      <c r="L91" s="12">
        <f>IFERROR('Raw Cash Flow Data'!N23,0)</f>
        <v>-2889</v>
      </c>
    </row>
    <row r="92" spans="2:12" x14ac:dyDescent="0.35">
      <c r="B92" s="20" t="s">
        <v>120</v>
      </c>
      <c r="C92" s="21">
        <f>IFERROR(SUM(C81:C91),0)</f>
        <v>-36694</v>
      </c>
      <c r="D92" s="21">
        <f t="shared" ref="D92:L92" si="23">IFERROR(SUM(D81:D91),0)</f>
        <v>-39572</v>
      </c>
      <c r="E92" s="21">
        <f t="shared" si="23"/>
        <v>-25140</v>
      </c>
      <c r="F92" s="21">
        <f t="shared" si="23"/>
        <v>-20879</v>
      </c>
      <c r="G92" s="21">
        <f t="shared" si="23"/>
        <v>-33116</v>
      </c>
      <c r="H92" s="21">
        <f t="shared" si="23"/>
        <v>-25671</v>
      </c>
      <c r="I92" s="21">
        <f t="shared" si="23"/>
        <v>-4442</v>
      </c>
      <c r="J92" s="21">
        <f t="shared" si="23"/>
        <v>-15419</v>
      </c>
      <c r="K92" s="21">
        <f t="shared" si="23"/>
        <v>-22781</v>
      </c>
      <c r="L92" s="21">
        <f t="shared" si="23"/>
        <v>-49982</v>
      </c>
    </row>
    <row r="94" spans="2:12" x14ac:dyDescent="0.35">
      <c r="B94" s="11" t="s">
        <v>122</v>
      </c>
    </row>
    <row r="95" spans="2:12" x14ac:dyDescent="0.35">
      <c r="B95" s="8" t="s">
        <v>106</v>
      </c>
      <c r="C95" s="12">
        <f>IFERROR('Raw Cash Flow Data'!E25,0)</f>
        <v>7433</v>
      </c>
      <c r="D95" s="12">
        <f>IFERROR('Raw Cash Flow Data'!F25,0)</f>
        <v>5</v>
      </c>
      <c r="E95" s="12">
        <f>IFERROR('Raw Cash Flow Data'!G25,0)</f>
        <v>0</v>
      </c>
      <c r="F95" s="12">
        <f>IFERROR('Raw Cash Flow Data'!H25,0)</f>
        <v>0</v>
      </c>
      <c r="G95" s="12">
        <f>IFERROR('Raw Cash Flow Data'!I25,0)</f>
        <v>3889</v>
      </c>
      <c r="H95" s="12">
        <f>IFERROR('Raw Cash Flow Data'!J25,0)</f>
        <v>2603</v>
      </c>
      <c r="I95" s="12">
        <f>IFERROR('Raw Cash Flow Data'!K25,0)</f>
        <v>19</v>
      </c>
      <c r="J95" s="12">
        <f>IFERROR('Raw Cash Flow Data'!L25,0)</f>
        <v>20</v>
      </c>
      <c r="K95" s="12">
        <f>IFERROR('Raw Cash Flow Data'!M25,0)</f>
        <v>82</v>
      </c>
      <c r="L95" s="12">
        <f>IFERROR('Raw Cash Flow Data'!N25,0)</f>
        <v>1108</v>
      </c>
    </row>
    <row r="96" spans="2:12" x14ac:dyDescent="0.35">
      <c r="B96" s="8" t="s">
        <v>107</v>
      </c>
      <c r="C96" s="12">
        <f>IFERROR('Raw Cash Flow Data'!E26,0)</f>
        <v>0</v>
      </c>
      <c r="D96" s="12">
        <f>IFERROR('Raw Cash Flow Data'!F26,0)</f>
        <v>0</v>
      </c>
      <c r="E96" s="12">
        <f>IFERROR('Raw Cash Flow Data'!G26,0)</f>
        <v>0</v>
      </c>
      <c r="F96" s="12">
        <f>IFERROR('Raw Cash Flow Data'!H26,0)</f>
        <v>0</v>
      </c>
      <c r="G96" s="12">
        <f>IFERROR('Raw Cash Flow Data'!I26,0)</f>
        <v>0</v>
      </c>
      <c r="H96" s="12">
        <f>IFERROR('Raw Cash Flow Data'!J26,0)</f>
        <v>0</v>
      </c>
      <c r="I96" s="12">
        <f>IFERROR('Raw Cash Flow Data'!K26,0)</f>
        <v>0</v>
      </c>
      <c r="J96" s="12">
        <f>IFERROR('Raw Cash Flow Data'!L26,0)</f>
        <v>0</v>
      </c>
      <c r="K96" s="12">
        <f>IFERROR('Raw Cash Flow Data'!M26,0)</f>
        <v>0</v>
      </c>
      <c r="L96" s="12">
        <f>IFERROR('Raw Cash Flow Data'!N26,0)</f>
        <v>0</v>
      </c>
    </row>
    <row r="97" spans="2:12" x14ac:dyDescent="0.35">
      <c r="B97" s="8" t="s">
        <v>108</v>
      </c>
      <c r="C97" s="12">
        <f>IFERROR('Raw Cash Flow Data'!E27,0)</f>
        <v>19519</v>
      </c>
      <c r="D97" s="12">
        <f>IFERROR('Raw Cash Flow Data'!F27,0)</f>
        <v>33390</v>
      </c>
      <c r="E97" s="12">
        <f>IFERROR('Raw Cash Flow Data'!G27,0)</f>
        <v>37482</v>
      </c>
      <c r="F97" s="12">
        <f>IFERROR('Raw Cash Flow Data'!H27,0)</f>
        <v>51128</v>
      </c>
      <c r="G97" s="12">
        <f>IFERROR('Raw Cash Flow Data'!I27,0)</f>
        <v>38297</v>
      </c>
      <c r="H97" s="12">
        <f>IFERROR('Raw Cash Flow Data'!J27,0)</f>
        <v>46641</v>
      </c>
      <c r="I97" s="12">
        <f>IFERROR('Raw Cash Flow Data'!K27,0)</f>
        <v>46578</v>
      </c>
      <c r="J97" s="12">
        <f>IFERROR('Raw Cash Flow Data'!L27,0)</f>
        <v>43934</v>
      </c>
      <c r="K97" s="12">
        <f>IFERROR('Raw Cash Flow Data'!M27,0)</f>
        <v>18829</v>
      </c>
      <c r="L97" s="12">
        <f>IFERROR('Raw Cash Flow Data'!N27,0)</f>
        <v>13384</v>
      </c>
    </row>
    <row r="98" spans="2:12" x14ac:dyDescent="0.35">
      <c r="B98" s="8" t="s">
        <v>109</v>
      </c>
      <c r="C98" s="12">
        <f>IFERROR('Raw Cash Flow Data'!E28,0)</f>
        <v>-24924</v>
      </c>
      <c r="D98" s="12">
        <f>IFERROR('Raw Cash Flow Data'!F28,0)</f>
        <v>-21732</v>
      </c>
      <c r="E98" s="12">
        <f>IFERROR('Raw Cash Flow Data'!G28,0)</f>
        <v>-29964</v>
      </c>
      <c r="F98" s="12">
        <f>IFERROR('Raw Cash Flow Data'!H28,0)</f>
        <v>-35198</v>
      </c>
      <c r="G98" s="12">
        <f>IFERROR('Raw Cash Flow Data'!I28,0)</f>
        <v>-29847</v>
      </c>
      <c r="H98" s="12">
        <f>IFERROR('Raw Cash Flow Data'!J28,0)</f>
        <v>-29709</v>
      </c>
      <c r="I98" s="12">
        <f>IFERROR('Raw Cash Flow Data'!K28,0)</f>
        <v>-42816</v>
      </c>
      <c r="J98" s="12">
        <f>IFERROR('Raw Cash Flow Data'!L28,0)</f>
        <v>-62557</v>
      </c>
      <c r="K98" s="12">
        <f>IFERROR('Raw Cash Flow Data'!M28,0)</f>
        <v>-47414</v>
      </c>
      <c r="L98" s="12">
        <f>IFERROR('Raw Cash Flow Data'!N28,0)</f>
        <v>-21443</v>
      </c>
    </row>
    <row r="99" spans="2:12" x14ac:dyDescent="0.35">
      <c r="B99" s="8" t="s">
        <v>110</v>
      </c>
      <c r="C99" s="12">
        <f>IFERROR('Raw Cash Flow Data'!E29,0)</f>
        <v>-5716</v>
      </c>
      <c r="D99" s="12">
        <f>IFERROR('Raw Cash Flow Data'!F29,0)</f>
        <v>-5336</v>
      </c>
      <c r="E99" s="12">
        <f>IFERROR('Raw Cash Flow Data'!G29,0)</f>
        <v>-5411</v>
      </c>
      <c r="F99" s="12">
        <f>IFERROR('Raw Cash Flow Data'!H29,0)</f>
        <v>-7005</v>
      </c>
      <c r="G99" s="12">
        <f>IFERROR('Raw Cash Flow Data'!I29,0)</f>
        <v>-7518</v>
      </c>
      <c r="H99" s="12">
        <f>IFERROR('Raw Cash Flow Data'!J29,0)</f>
        <v>-8123</v>
      </c>
      <c r="I99" s="12">
        <f>IFERROR('Raw Cash Flow Data'!K29,0)</f>
        <v>-9251</v>
      </c>
      <c r="J99" s="12">
        <f>IFERROR('Raw Cash Flow Data'!L29,0)</f>
        <v>-9336</v>
      </c>
      <c r="K99" s="12">
        <f>IFERROR('Raw Cash Flow Data'!M29,0)</f>
        <v>-9332</v>
      </c>
      <c r="L99" s="12">
        <f>IFERROR('Raw Cash Flow Data'!N29,0)</f>
        <v>-5814</v>
      </c>
    </row>
    <row r="100" spans="2:12" x14ac:dyDescent="0.35">
      <c r="B100" s="8" t="s">
        <v>111</v>
      </c>
      <c r="C100" s="12">
        <f>IFERROR('Raw Cash Flow Data'!E30,0)</f>
        <v>-108</v>
      </c>
      <c r="D100" s="12">
        <f>IFERROR('Raw Cash Flow Data'!F30,0)</f>
        <v>-121</v>
      </c>
      <c r="E100" s="12">
        <f>IFERROR('Raw Cash Flow Data'!G30,0)</f>
        <v>-96</v>
      </c>
      <c r="F100" s="12">
        <f>IFERROR('Raw Cash Flow Data'!H30,0)</f>
        <v>-95</v>
      </c>
      <c r="G100" s="12">
        <f>IFERROR('Raw Cash Flow Data'!I30,0)</f>
        <v>-57</v>
      </c>
      <c r="H100" s="12">
        <f>IFERROR('Raw Cash Flow Data'!J30,0)</f>
        <v>-30</v>
      </c>
      <c r="I100" s="12">
        <f>IFERROR('Raw Cash Flow Data'!K30,0)</f>
        <v>-100</v>
      </c>
      <c r="J100" s="12">
        <f>IFERROR('Raw Cash Flow Data'!L30,0)</f>
        <v>-141</v>
      </c>
      <c r="K100" s="12">
        <f>IFERROR('Raw Cash Flow Data'!M30,0)</f>
        <v>-1059</v>
      </c>
      <c r="L100" s="12">
        <f>IFERROR('Raw Cash Flow Data'!N30,0)</f>
        <v>-2492</v>
      </c>
    </row>
    <row r="101" spans="2:12" x14ac:dyDescent="0.35">
      <c r="B101" s="8" t="s">
        <v>112</v>
      </c>
      <c r="C101" s="12">
        <f>IFERROR('Raw Cash Flow Data'!E31,0)</f>
        <v>0</v>
      </c>
      <c r="D101" s="12">
        <f>IFERROR('Raw Cash Flow Data'!F31,0)</f>
        <v>0</v>
      </c>
      <c r="E101" s="12">
        <f>IFERROR('Raw Cash Flow Data'!G31,0)</f>
        <v>0</v>
      </c>
      <c r="F101" s="12">
        <f>IFERROR('Raw Cash Flow Data'!H31,0)</f>
        <v>0</v>
      </c>
      <c r="G101" s="12">
        <f>IFERROR('Raw Cash Flow Data'!I31,0)</f>
        <v>-1346</v>
      </c>
      <c r="H101" s="12">
        <f>IFERROR('Raw Cash Flow Data'!J31,0)</f>
        <v>-1477</v>
      </c>
      <c r="I101" s="12">
        <f>IFERROR('Raw Cash Flow Data'!K31,0)</f>
        <v>-1559</v>
      </c>
      <c r="J101" s="12">
        <f>IFERROR('Raw Cash Flow Data'!L31,0)</f>
        <v>-1517</v>
      </c>
      <c r="K101" s="12">
        <f>IFERROR('Raw Cash Flow Data'!M31,0)</f>
        <v>-1924</v>
      </c>
      <c r="L101" s="12">
        <f>IFERROR('Raw Cash Flow Data'!N31,0)</f>
        <v>-2393</v>
      </c>
    </row>
    <row r="102" spans="2:12" x14ac:dyDescent="0.35">
      <c r="B102" s="8" t="s">
        <v>113</v>
      </c>
      <c r="C102" s="12">
        <f>IFERROR('Raw Cash Flow Data'!E32,0)</f>
        <v>0</v>
      </c>
      <c r="D102" s="12">
        <f>IFERROR('Raw Cash Flow Data'!F32,0)</f>
        <v>0</v>
      </c>
      <c r="E102" s="12">
        <f>IFERROR('Raw Cash Flow Data'!G32,0)</f>
        <v>0</v>
      </c>
      <c r="F102" s="12">
        <f>IFERROR('Raw Cash Flow Data'!H32,0)</f>
        <v>0</v>
      </c>
      <c r="G102" s="12">
        <f>IFERROR('Raw Cash Flow Data'!I32,0)</f>
        <v>-29</v>
      </c>
      <c r="H102" s="12">
        <f>IFERROR('Raw Cash Flow Data'!J32,0)</f>
        <v>0</v>
      </c>
      <c r="I102" s="12">
        <f>IFERROR('Raw Cash Flow Data'!K32,0)</f>
        <v>3750</v>
      </c>
      <c r="J102" s="12">
        <f>IFERROR('Raw Cash Flow Data'!L32,0)</f>
        <v>3355</v>
      </c>
      <c r="K102" s="12">
        <f>IFERROR('Raw Cash Flow Data'!M32,0)</f>
        <v>3812</v>
      </c>
      <c r="L102" s="12">
        <f>IFERROR('Raw Cash Flow Data'!N32,0)</f>
        <v>-1136</v>
      </c>
    </row>
    <row r="103" spans="2:12" x14ac:dyDescent="0.35">
      <c r="B103" s="20" t="s">
        <v>49</v>
      </c>
      <c r="C103" s="21">
        <f t="shared" ref="C103:L103" si="24">IFERROR(SUM(C95:C102),0)</f>
        <v>-3796</v>
      </c>
      <c r="D103" s="21">
        <f t="shared" si="24"/>
        <v>6206</v>
      </c>
      <c r="E103" s="21">
        <f t="shared" si="24"/>
        <v>2011</v>
      </c>
      <c r="F103" s="21">
        <f t="shared" si="24"/>
        <v>8830</v>
      </c>
      <c r="G103" s="21">
        <f t="shared" si="24"/>
        <v>3389</v>
      </c>
      <c r="H103" s="21">
        <f t="shared" si="24"/>
        <v>9905</v>
      </c>
      <c r="I103" s="21">
        <f t="shared" si="24"/>
        <v>-3379</v>
      </c>
      <c r="J103" s="21">
        <f t="shared" si="24"/>
        <v>-26242</v>
      </c>
      <c r="K103" s="21">
        <f t="shared" si="24"/>
        <v>-37006</v>
      </c>
      <c r="L103" s="21">
        <f t="shared" si="24"/>
        <v>-18786</v>
      </c>
    </row>
    <row r="105" spans="2:12" ht="15" thickBot="1" x14ac:dyDescent="0.4">
      <c r="B105" s="23" t="s">
        <v>123</v>
      </c>
      <c r="C105" s="24">
        <f t="shared" ref="C105:L105" si="25">IFERROR(SUM(C78,C92,C103),0)</f>
        <v>-8443</v>
      </c>
      <c r="D105" s="24">
        <f t="shared" si="25"/>
        <v>-7893</v>
      </c>
      <c r="E105" s="24">
        <f t="shared" si="25"/>
        <v>234</v>
      </c>
      <c r="F105" s="24">
        <f t="shared" si="25"/>
        <v>2331</v>
      </c>
      <c r="G105" s="24">
        <f t="shared" si="25"/>
        <v>-3969</v>
      </c>
      <c r="H105" s="24">
        <f t="shared" si="25"/>
        <v>17384</v>
      </c>
      <c r="I105" s="24">
        <f t="shared" si="25"/>
        <v>10857</v>
      </c>
      <c r="J105" s="24">
        <f t="shared" si="25"/>
        <v>-4079</v>
      </c>
      <c r="K105" s="24">
        <f t="shared" si="25"/>
        <v>5368</v>
      </c>
      <c r="L105" s="24">
        <f t="shared" si="25"/>
        <v>-6819</v>
      </c>
    </row>
  </sheetData>
  <mergeCells count="1">
    <mergeCell ref="B2:M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pane xSplit="1" ySplit="3" topLeftCell="B34" activePane="bottomRight" state="frozen"/>
      <selection pane="topRight" activeCell="B1" sqref="B1"/>
      <selection pane="bottomLeft" activeCell="A4" sqref="A4"/>
      <selection pane="bottomRight" activeCell="A34" sqref="A34"/>
    </sheetView>
  </sheetViews>
  <sheetFormatPr defaultRowHeight="14.5" x14ac:dyDescent="0.35"/>
  <cols>
    <col min="1" max="1" width="1.90625" style="8" customWidth="1"/>
    <col min="2" max="2" width="24" style="8" customWidth="1"/>
    <col min="3" max="12" width="9.6328125" style="8" customWidth="1"/>
    <col min="13" max="13" width="16" style="8" customWidth="1"/>
    <col min="14" max="16384" width="8.7265625" style="8"/>
  </cols>
  <sheetData>
    <row r="2" spans="2:15" x14ac:dyDescent="0.35">
      <c r="B2" s="138" t="str">
        <f>"Ratio analysis - "&amp;'Data Sheet'!B1</f>
        <v>Ratio analysis - TATA MOTORS LTD</v>
      </c>
      <c r="C2" s="138"/>
      <c r="D2" s="138"/>
      <c r="E2" s="138"/>
      <c r="F2" s="138"/>
      <c r="G2" s="138"/>
      <c r="H2" s="138"/>
      <c r="I2" s="138"/>
      <c r="J2" s="138"/>
      <c r="K2" s="138"/>
      <c r="L2" s="138"/>
    </row>
    <row r="3" spans="2:15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N3" s="27" t="s">
        <v>155</v>
      </c>
      <c r="O3" s="27" t="s">
        <v>156</v>
      </c>
    </row>
    <row r="5" spans="2:15" x14ac:dyDescent="0.35">
      <c r="B5" s="28" t="s">
        <v>59</v>
      </c>
      <c r="C5" s="29"/>
      <c r="D5" s="30">
        <f>IFERROR(HistoricalFS!D6,0)</f>
        <v>-1.2280329732469508E-2</v>
      </c>
      <c r="E5" s="30">
        <f>IFERROR(HistoricalFS!E6,0)</f>
        <v>8.104774581985974E-2</v>
      </c>
      <c r="F5" s="30">
        <f>IFERROR(HistoricalFS!F6,0)</f>
        <v>3.5629919045237157E-2</v>
      </c>
      <c r="G5" s="30">
        <f>IFERROR(HistoricalFS!G6,0)</f>
        <v>-0.135360159555724</v>
      </c>
      <c r="H5" s="30">
        <f>IFERROR(HistoricalFS!H6,0)</f>
        <v>-4.3181168490336042E-2</v>
      </c>
      <c r="I5" s="30">
        <f>IFERROR(HistoricalFS!I6,0)</f>
        <v>0.11472967306158344</v>
      </c>
      <c r="J5" s="30">
        <f>IFERROR(HistoricalFS!J6,0)</f>
        <v>0.24245815155859707</v>
      </c>
      <c r="K5" s="30">
        <f>IFERROR(HistoricalFS!K6,0)</f>
        <v>0.25450126062612277</v>
      </c>
      <c r="L5" s="30">
        <f>IFERROR(HistoricalFS!L6,0)</f>
        <v>1.3084771068347711E-2</v>
      </c>
      <c r="M5" s="28"/>
      <c r="N5" s="30">
        <f>IFERROR(AVERAGE(D5:L5),0)</f>
        <v>6.1181095933468703E-2</v>
      </c>
      <c r="O5" s="30">
        <f>IFERROR(MEDIAN(D5:L5),0)</f>
        <v>3.5629919045237157E-2</v>
      </c>
    </row>
    <row r="6" spans="2:15" x14ac:dyDescent="0.35">
      <c r="B6" s="31" t="s">
        <v>124</v>
      </c>
      <c r="C6" s="31"/>
      <c r="D6" s="32">
        <f>IFERROR(IF(HistoricalFS!C16&gt;0,HistoricalFS!D16/HistoricalFS!C16-1,-(HistoricalFS!D16/HistoricalFS!C16-1)),0)</f>
        <v>-0.22936587208052905</v>
      </c>
      <c r="E6" s="32">
        <f>IFERROR(IF(HistoricalFS!D16&gt;0,HistoricalFS!E16/HistoricalFS!D16-1,-(HistoricalFS!E16/HistoricalFS!D16-1)),0)</f>
        <v>6.3165689322506102E-2</v>
      </c>
      <c r="F6" s="32">
        <f>IFERROR(IF(HistoricalFS!E16&gt;0,HistoricalFS!F16/HistoricalFS!E16-1,-(HistoricalFS!F16/HistoricalFS!E16-1)),0)</f>
        <v>-0.21595203460649259</v>
      </c>
      <c r="G6" s="32">
        <f>IFERROR(IF(HistoricalFS!F16&gt;0,HistoricalFS!G16/HistoricalFS!F16-1,-(HistoricalFS!G16/HistoricalFS!F16-1)),0)</f>
        <v>-0.27072537547138131</v>
      </c>
      <c r="H6" s="32">
        <f>IFERROR(IF(HistoricalFS!G16&gt;0,HistoricalFS!H16/HistoricalFS!G16-1,-(HistoricalFS!H16/HistoricalFS!G16-1)),0)</f>
        <v>0.79503554497758966</v>
      </c>
      <c r="I6" s="32">
        <f>IFERROR(IF(HistoricalFS!H16&gt;0,HistoricalFS!I16/HistoricalFS!H16-1,-(HistoricalFS!I16/HistoricalFS!H16-1)),0)</f>
        <v>-0.234374182150762</v>
      </c>
      <c r="J6" s="32">
        <f>IFERROR(IF(HistoricalFS!I16&gt;0,HistoricalFS!J16/HistoricalFS!I16-1,-(HistoricalFS!J16/HistoricalFS!I16-1)),0)</f>
        <v>0.28704223973294352</v>
      </c>
      <c r="K6" s="32">
        <f>IFERROR(IF(HistoricalFS!J16&gt;0,HistoricalFS!K16/HistoricalFS!J16-1,-(HistoricalFS!K16/HistoricalFS!J16-1)),0)</f>
        <v>0.81746176428064277</v>
      </c>
      <c r="L6" s="32">
        <f>IFERROR(IF(HistoricalFS!K16&gt;0,HistoricalFS!L16/HistoricalFS!K16-1,-(HistoricalFS!L16/HistoricalFS!K16-1)),0)</f>
        <v>-4.510237963475372E-2</v>
      </c>
      <c r="M6" s="31"/>
      <c r="N6" s="32">
        <f t="shared" ref="N6:N9" si="0">IFERROR(AVERAGE(D6:L6),0)</f>
        <v>0.1074650438188626</v>
      </c>
      <c r="O6" s="32">
        <f t="shared" ref="O6:O9" si="1">IFERROR(MEDIAN(D6:L6),0)</f>
        <v>-4.510237963475372E-2</v>
      </c>
    </row>
    <row r="7" spans="2:15" x14ac:dyDescent="0.35">
      <c r="B7" s="31" t="s">
        <v>127</v>
      </c>
      <c r="C7" s="31"/>
      <c r="D7" s="32">
        <f>IFERROR(IF(HistoricalFS!C25&gt;0,HistoricalFS!D25/HistoricalFS!C25-1,-(HistoricalFS!D25/HistoricalFS!C25-1)),0)</f>
        <v>-0.55668251823863235</v>
      </c>
      <c r="E7" s="32">
        <f>IFERROR(IF(HistoricalFS!D25&gt;0,HistoricalFS!E25/HistoricalFS!D25-1,-(HistoricalFS!E25/HistoricalFS!D25-1)),0)</f>
        <v>-0.29861436616351711</v>
      </c>
      <c r="F7" s="32">
        <f>IFERROR(IF(HistoricalFS!E25&gt;0,HistoricalFS!F25/HistoricalFS!E25-1,-(HistoricalFS!F25/HistoricalFS!E25-1)),0)</f>
        <v>-1.8970951496467041</v>
      </c>
      <c r="G7" s="32">
        <f>IFERROR(IF(HistoricalFS!F25&gt;0,HistoricalFS!G25/HistoricalFS!F25-1,-(HistoricalFS!G25/HistoricalFS!F25-1)),0)</f>
        <v>-1.2800251873039108</v>
      </c>
      <c r="H7" s="32">
        <f>IFERROR(IF(HistoricalFS!G25&gt;0,HistoricalFS!H25/HistoricalFS!G25-1,-(HistoricalFS!H25/HistoricalFS!G25-1)),0)</f>
        <v>1.0602479570180361</v>
      </c>
      <c r="I7" s="32">
        <f>IFERROR(IF(HistoricalFS!H25&gt;0,HistoricalFS!I25/HistoricalFS!H25-1,-(HistoricalFS!I25/HistoricalFS!H25-1)),0)</f>
        <v>-15.649149250252746</v>
      </c>
      <c r="J7" s="32">
        <f>IFERROR(IF(HistoricalFS!I25&gt;0,HistoricalFS!J25/HistoricalFS!I25-1,-(HistoricalFS!J25/HistoricalFS!I25-1)),0)</f>
        <v>0.6531366879307845</v>
      </c>
      <c r="K7" s="32">
        <f>IFERROR(IF(HistoricalFS!J25&gt;0,HistoricalFS!K25/HistoricalFS!J25-1,-(HistoricalFS!K25/HistoricalFS!J25-1)),0)</f>
        <v>8.0308008464727383</v>
      </c>
      <c r="L7" s="32">
        <f>IFERROR(IF(HistoricalFS!K25&gt;0,HistoricalFS!L25/HistoricalFS!K25-1,-(HistoricalFS!L25/HistoricalFS!K25-1)),0)</f>
        <v>0.16902266104127706</v>
      </c>
      <c r="M7" s="31"/>
      <c r="N7" s="32">
        <f t="shared" si="0"/>
        <v>-1.0853731465714083</v>
      </c>
      <c r="O7" s="32">
        <f t="shared" si="1"/>
        <v>-0.29861436616351711</v>
      </c>
    </row>
    <row r="8" spans="2:15" x14ac:dyDescent="0.35">
      <c r="B8" s="31" t="s">
        <v>125</v>
      </c>
      <c r="C8" s="31"/>
      <c r="D8" s="32">
        <f>IFERROR(IF(HistoricalFS!C31&gt;0,(HistoricalFS!D31/HistoricalFS!C31-1),-(HistoricalFS!D31/HistoricalFS!C31-1)),0)</f>
        <v>-0.6953989516598682</v>
      </c>
      <c r="E8" s="32">
        <f>IFERROR(IF(HistoricalFS!D31&gt;0,(HistoricalFS!E31/HistoricalFS!D31-1),-(HistoricalFS!E31/HistoricalFS!D31-1)),0)</f>
        <v>-0.79011124197155702</v>
      </c>
      <c r="F8" s="32">
        <f>IFERROR(IF(HistoricalFS!E31&gt;0,(HistoricalFS!F31/HistoricalFS!E31-1),-(HistoricalFS!F31/HistoricalFS!E31-1)),0)</f>
        <v>-3.5528470983790874</v>
      </c>
      <c r="G8" s="32">
        <f>IFERROR(IF(HistoricalFS!F31&gt;0,(HistoricalFS!G31/HistoricalFS!F31-1),-(HistoricalFS!G31/HistoricalFS!F31-1)),0)</f>
        <v>-3.9286702707513648</v>
      </c>
      <c r="H8" s="32">
        <f>IFERROR(IF(HistoricalFS!G31&gt;0,(HistoricalFS!H31/HistoricalFS!G31-1),-(HistoricalFS!H31/HistoricalFS!G31-1)),0)</f>
        <v>0.82862505348950111</v>
      </c>
      <c r="I8" s="32">
        <f>IFERROR(IF(HistoricalFS!H31&gt;0,(HistoricalFS!I31/HistoricalFS!H31-1),-(HistoricalFS!I31/HistoricalFS!H31-1)),0)</f>
        <v>-6.1952157445306089</v>
      </c>
      <c r="J8" s="32">
        <f>IFERROR(IF(HistoricalFS!I31&gt;0,(HistoricalFS!J31/HistoricalFS!I31-1),-(HistoricalFS!J31/HistoricalFS!I31-1)),0)</f>
        <v>0.70904365333577046</v>
      </c>
      <c r="K8" s="32">
        <f>IFERROR(IF(HistoricalFS!J31&gt;0,(HistoricalFS!K31/HistoricalFS!J31-1),-(HistoricalFS!K31/HistoricalFS!J31-1)),0)</f>
        <v>7.7977655318184551</v>
      </c>
      <c r="L8" s="32">
        <f>IFERROR(IF(HistoricalFS!K31&gt;0,(HistoricalFS!L31/HistoricalFS!K31-1),-(HistoricalFS!L31/HistoricalFS!K31-1)),0)</f>
        <v>-0.39385526559318895</v>
      </c>
      <c r="M8" s="31"/>
      <c r="N8" s="32">
        <f t="shared" si="0"/>
        <v>-0.69118492602688308</v>
      </c>
      <c r="O8" s="32">
        <f t="shared" si="1"/>
        <v>-0.6953989516598682</v>
      </c>
    </row>
    <row r="9" spans="2:15" x14ac:dyDescent="0.35">
      <c r="B9" s="33" t="s">
        <v>126</v>
      </c>
      <c r="C9" s="33"/>
      <c r="D9" s="34">
        <f>IFERROR(IF(HistoricalFS!C39&gt;0,HistoricalFS!D39/HistoricalFS!C39-1,-(HistoricalFS!D39/HistoricalFS!C39-1)),0)</f>
        <v>-1</v>
      </c>
      <c r="E9" s="34">
        <f>IFERROR(IF(HistoricalFS!D39&gt;0,HistoricalFS!E39/HistoricalFS!D39-1,-(HistoricalFS!E39/HistoricalFS!D39-1)),0)</f>
        <v>0</v>
      </c>
      <c r="F9" s="34">
        <f>IFERROR(IF(HistoricalFS!E39&gt;0,HistoricalFS!F39/HistoricalFS!E39-1,-(HistoricalFS!F39/HistoricalFS!E39-1)),0)</f>
        <v>0</v>
      </c>
      <c r="G9" s="34">
        <f>IFERROR(IF(HistoricalFS!F39&gt;0,HistoricalFS!G39/HistoricalFS!F39-1,-(HistoricalFS!G39/HistoricalFS!F39-1)),0)</f>
        <v>0</v>
      </c>
      <c r="H9" s="34">
        <f>IFERROR(IF(HistoricalFS!G39&gt;0,HistoricalFS!H39/HistoricalFS!G39-1,-(HistoricalFS!H39/HistoricalFS!G39-1)),0)</f>
        <v>0</v>
      </c>
      <c r="I9" s="34">
        <f>IFERROR(IF(HistoricalFS!H39&gt;0,HistoricalFS!I39/HistoricalFS!H39-1,-(HistoricalFS!I39/HistoricalFS!H39-1)),0)</f>
        <v>0</v>
      </c>
      <c r="J9" s="34">
        <f>IFERROR(IF(HistoricalFS!I39&gt;0,HistoricalFS!J39/HistoricalFS!I39-1,-(HistoricalFS!J39/HistoricalFS!I39-1)),0)</f>
        <v>0</v>
      </c>
      <c r="K9" s="34">
        <f>IFERROR(IF(HistoricalFS!J39&gt;0,HistoricalFS!K39/HistoricalFS!J39-1,-(HistoricalFS!K39/HistoricalFS!J39-1)),0)</f>
        <v>2.0016689880185949</v>
      </c>
      <c r="L9" s="34">
        <f>IFERROR(IF(HistoricalFS!K39&gt;0,HistoricalFS!L39/HistoricalFS!K39-1,-(HistoricalFS!L39/HistoricalFS!K39-1)),0)</f>
        <v>-0.1336306958339889</v>
      </c>
      <c r="M9" s="33"/>
      <c r="N9" s="34">
        <f t="shared" si="0"/>
        <v>9.6448699131622892E-2</v>
      </c>
      <c r="O9" s="34">
        <f t="shared" si="1"/>
        <v>0</v>
      </c>
    </row>
    <row r="11" spans="2:15" x14ac:dyDescent="0.35">
      <c r="B11" s="28" t="s">
        <v>128</v>
      </c>
      <c r="C11" s="30">
        <f>IFERROR(HistoricalFS!C11,0)</f>
        <v>0.24734524196690946</v>
      </c>
      <c r="D11" s="30">
        <f>IFERROR(HistoricalFS!D11,0)</f>
        <v>0.23819078253229964</v>
      </c>
      <c r="E11" s="30">
        <f>IFERROR(HistoricalFS!E11,0)</f>
        <v>0.21649990080619999</v>
      </c>
      <c r="F11" s="30">
        <f>IFERROR(HistoricalFS!F11,0)</f>
        <v>0.19571167496416494</v>
      </c>
      <c r="G11" s="30">
        <f>IFERROR(HistoricalFS!G11,0)</f>
        <v>0.19417127271491774</v>
      </c>
      <c r="H11" s="30">
        <f>IFERROR(HistoricalFS!H11,0)</f>
        <v>0.2180538622208833</v>
      </c>
      <c r="I11" s="30">
        <f>IFERROR(HistoricalFS!I11,0)</f>
        <v>0.19807108271747378</v>
      </c>
      <c r="J11" s="30">
        <f>IFERROR(HistoricalFS!J11,0)</f>
        <v>0.20685017994636876</v>
      </c>
      <c r="K11" s="30">
        <f>IFERROR(HistoricalFS!K11,0)</f>
        <v>0.22956757354567572</v>
      </c>
      <c r="L11" s="30">
        <f>IFERROR(HistoricalFS!L11,0)</f>
        <v>0.22489680346603896</v>
      </c>
      <c r="M11" s="28"/>
      <c r="N11" s="30">
        <f>IFERROR(AVERAGE(C11:L11),0)</f>
        <v>0.2169358374880932</v>
      </c>
      <c r="O11" s="30">
        <f>IFERROR(MEDIAN(C11:L11),0)</f>
        <v>0.21727688151354163</v>
      </c>
    </row>
    <row r="12" spans="2:15" x14ac:dyDescent="0.35">
      <c r="B12" s="31" t="s">
        <v>130</v>
      </c>
      <c r="C12" s="32">
        <f>IFERROR(HistoricalFS!C17,0)</f>
        <v>0.14061845347443788</v>
      </c>
      <c r="D12" s="32">
        <f>IFERROR(HistoricalFS!D17,0)</f>
        <v>0.10971268723777329</v>
      </c>
      <c r="E12" s="32">
        <f>IFERROR(HistoricalFS!E17,0)</f>
        <v>0.10789788444182975</v>
      </c>
      <c r="F12" s="32">
        <f>IFERROR(HistoricalFS!F17,0)</f>
        <v>8.1686628795807431E-2</v>
      </c>
      <c r="G12" s="32">
        <f>IFERROR(HistoricalFS!G17,0)</f>
        <v>6.8898034485042198E-2</v>
      </c>
      <c r="H12" s="32">
        <f>IFERROR(HistoricalFS!H17,0)</f>
        <v>0.12925583904385496</v>
      </c>
      <c r="I12" s="32">
        <f>IFERROR(HistoricalFS!I17,0)</f>
        <v>8.877632835227646E-2</v>
      </c>
      <c r="J12" s="32">
        <f>IFERROR(HistoricalFS!J17,0)</f>
        <v>9.1961958102532049E-2</v>
      </c>
      <c r="K12" s="32">
        <f>IFERROR(HistoricalFS!K17,0)</f>
        <v>0.13323011133230112</v>
      </c>
      <c r="L12" s="32">
        <f>IFERROR(HistoricalFS!L17,0)</f>
        <v>0.12557795744777631</v>
      </c>
      <c r="M12" s="31"/>
      <c r="N12" s="32">
        <f t="shared" ref="N12:N31" si="2">IFERROR(AVERAGE(C12:L12),0)</f>
        <v>0.10776158827136313</v>
      </c>
      <c r="O12" s="32">
        <f t="shared" ref="O12:O41" si="3">IFERROR(MEDIAN(C12:L12),0)</f>
        <v>0.10880528583980152</v>
      </c>
    </row>
    <row r="13" spans="2:15" x14ac:dyDescent="0.35">
      <c r="B13" s="31" t="s">
        <v>132</v>
      </c>
      <c r="C13" s="32">
        <f>IFERROR((HistoricalFS!C25+HistoricalFS!C19)/HistoricalFS!C5,0)</f>
        <v>7.941702777851016E-2</v>
      </c>
      <c r="D13" s="32">
        <f>IFERROR((HistoricalFS!D25+HistoricalFS!D19)/HistoricalFS!D5,0)</f>
        <v>4.3322300645279477E-2</v>
      </c>
      <c r="E13" s="32">
        <f>IFERROR((HistoricalFS!E25+HistoricalFS!E19)/HistoricalFS!E5,0)</f>
        <v>3.3970412259310953E-2</v>
      </c>
      <c r="F13" s="32">
        <f>IFERROR((HistoricalFS!F25+HistoricalFS!F19)/HistoricalFS!F5,0)</f>
        <v>3.5560233478087724E-3</v>
      </c>
      <c r="G13" s="32">
        <f>IFERROR((HistoricalFS!G25+HistoricalFS!G19)/HistoricalFS!G5,0)</f>
        <v>-1.3170363258273456E-2</v>
      </c>
      <c r="H13" s="32">
        <f>IFERROR((HistoricalFS!H25+HistoricalFS!H19)/HistoricalFS!H5,0)</f>
        <v>3.4991608110258476E-2</v>
      </c>
      <c r="I13" s="32">
        <f>IFERROR((HistoricalFS!I25+HistoricalFS!I19)/HistoricalFS!I5,0)</f>
        <v>-4.1514992694289269E-4</v>
      </c>
      <c r="J13" s="32">
        <f>IFERROR((HistoricalFS!J25+HistoricalFS!J19)/HistoricalFS!J5,0)</f>
        <v>2.0104346955433228E-2</v>
      </c>
      <c r="K13" s="32">
        <f>IFERROR((HistoricalFS!K25+HistoricalFS!K19)/HistoricalFS!K5,0)</f>
        <v>7.0469752267197525E-2</v>
      </c>
      <c r="L13" s="32">
        <f>IFERROR((HistoricalFS!L25+HistoricalFS!L19)/HistoricalFS!L5,0)</f>
        <v>7.2686748769033083E-2</v>
      </c>
      <c r="M13" s="31"/>
      <c r="N13" s="32">
        <f t="shared" si="2"/>
        <v>3.4493270694761533E-2</v>
      </c>
      <c r="O13" s="32">
        <f t="shared" si="3"/>
        <v>3.4481010184784715E-2</v>
      </c>
    </row>
    <row r="14" spans="2:15" x14ac:dyDescent="0.35">
      <c r="B14" s="31" t="s">
        <v>131</v>
      </c>
      <c r="C14" s="32">
        <f>IFERROR(HistoricalFS!C26,0)</f>
        <v>6.1511300676516931E-2</v>
      </c>
      <c r="D14" s="32">
        <f>IFERROR(HistoricalFS!D26,0)</f>
        <v>2.7608071132565165E-2</v>
      </c>
      <c r="E14" s="32">
        <f>IFERROR(HistoricalFS!E26,0)</f>
        <v>1.7912163958707913E-2</v>
      </c>
      <c r="F14" s="32">
        <f>IFERROR(HistoricalFS!F26,0)</f>
        <v>-1.5516078776333105E-2</v>
      </c>
      <c r="G14" s="32">
        <f>IFERROR(HistoricalFS!G26,0)</f>
        <v>-4.0915360088026258E-2</v>
      </c>
      <c r="H14" s="32">
        <f>IFERROR(HistoricalFS!H26,0)</f>
        <v>2.5763151547419966E-3</v>
      </c>
      <c r="I14" s="32">
        <f>IFERROR(HistoricalFS!I26,0)</f>
        <v>-3.3856482095653791E-2</v>
      </c>
      <c r="J14" s="32">
        <f>IFERROR(HistoricalFS!J26,0)</f>
        <v>-9.4518849588445999E-3</v>
      </c>
      <c r="K14" s="32">
        <f>IFERROR(HistoricalFS!K26,0)</f>
        <v>5.2972701467227018E-2</v>
      </c>
      <c r="L14" s="32">
        <f>IFERROR(HistoricalFS!L26,0)</f>
        <v>6.1126462661617711E-2</v>
      </c>
      <c r="M14" s="31"/>
      <c r="N14" s="32">
        <f t="shared" si="2"/>
        <v>1.2396720913251899E-2</v>
      </c>
      <c r="O14" s="32">
        <f t="shared" si="3"/>
        <v>1.0244239556724955E-2</v>
      </c>
    </row>
    <row r="15" spans="2:15" x14ac:dyDescent="0.35">
      <c r="B15" s="33" t="s">
        <v>133</v>
      </c>
      <c r="C15" s="34">
        <f>IFERROR(HistoricalFS!C32,0)</f>
        <v>5.0432381990407359E-2</v>
      </c>
      <c r="D15" s="34">
        <f>IFERROR(HistoricalFS!D32,0)</f>
        <v>1.5552749314395282E-2</v>
      </c>
      <c r="E15" s="34">
        <f>IFERROR(HistoricalFS!E32,0)</f>
        <v>3.01961430487095E-3</v>
      </c>
      <c r="F15" s="34">
        <f>IFERROR(HistoricalFS!F32,0)</f>
        <v>-7.4434056747998134E-3</v>
      </c>
      <c r="G15" s="34">
        <f>IFERROR(HistoricalFS!G32,0)</f>
        <v>-4.2429333632923401E-2</v>
      </c>
      <c r="H15" s="34">
        <f>IFERROR(HistoricalFS!H32,0)</f>
        <v>-7.5994791724005879E-3</v>
      </c>
      <c r="I15" s="34">
        <f>IFERROR(HistoricalFS!I32,0)</f>
        <v>-4.9052154538339221E-2</v>
      </c>
      <c r="J15" s="34">
        <f>IFERROR(HistoricalFS!J32,0)</f>
        <v>-1.1486934720964955E-2</v>
      </c>
      <c r="K15" s="34">
        <f>IFERROR(HistoricalFS!K32,0)</f>
        <v>6.224424905994249E-2</v>
      </c>
      <c r="L15" s="34">
        <f>IFERROR(HistoricalFS!L32,0)</f>
        <v>3.724172437712505E-2</v>
      </c>
      <c r="M15" s="33"/>
      <c r="N15" s="34">
        <f t="shared" si="2"/>
        <v>5.0479411307313166E-3</v>
      </c>
      <c r="O15" s="34">
        <f t="shared" si="3"/>
        <v>-2.2118956849644317E-3</v>
      </c>
    </row>
    <row r="17" spans="2:15" x14ac:dyDescent="0.35">
      <c r="B17" s="28" t="s">
        <v>134</v>
      </c>
      <c r="C17" s="30">
        <f>IFERROR(HistoricalFS!C14,0)</f>
        <v>0.10672678849247161</v>
      </c>
      <c r="D17" s="30">
        <f>IFERROR(HistoricalFS!D14,0)</f>
        <v>0.12847809529452636</v>
      </c>
      <c r="E17" s="30">
        <f>IFERROR(HistoricalFS!E14,0)</f>
        <v>0.10860201636437025</v>
      </c>
      <c r="F17" s="30">
        <f>IFERROR(HistoricalFS!F14,0)</f>
        <v>0.11402504616835751</v>
      </c>
      <c r="G17" s="30">
        <f>IFERROR(HistoricalFS!G14,0)</f>
        <v>0.12527323822987554</v>
      </c>
      <c r="H17" s="30">
        <f>IFERROR(HistoricalFS!H14,0)</f>
        <v>8.8798023177028354E-2</v>
      </c>
      <c r="I17" s="30">
        <f>IFERROR(HistoricalFS!I14,0)</f>
        <v>0.10929475436519734</v>
      </c>
      <c r="J17" s="30">
        <f>IFERROR(HistoricalFS!J14,0)</f>
        <v>0.11488822184383672</v>
      </c>
      <c r="K17" s="30">
        <f>IFERROR(HistoricalFS!K14,0)</f>
        <v>9.6337462213374622E-2</v>
      </c>
      <c r="L17" s="30">
        <f>IFERROR(HistoricalFS!L14,0)</f>
        <v>9.9318846018262658E-2</v>
      </c>
      <c r="M17" s="28"/>
      <c r="N17" s="30">
        <f t="shared" si="2"/>
        <v>0.10917424921673009</v>
      </c>
      <c r="O17" s="30">
        <f t="shared" si="3"/>
        <v>0.1089483853647838</v>
      </c>
    </row>
    <row r="18" spans="2:15" x14ac:dyDescent="0.35">
      <c r="B18" s="31" t="s">
        <v>135</v>
      </c>
      <c r="C18" s="32">
        <f>IFERROR(HistoricalFS!C23,0)</f>
        <v>6.1201425695927715E-2</v>
      </c>
      <c r="D18" s="32">
        <f>IFERROR(HistoricalFS!D23,0)</f>
        <v>6.63903865924938E-2</v>
      </c>
      <c r="E18" s="32">
        <f>IFERROR(HistoricalFS!E23,0)</f>
        <v>7.3927472182518786E-2</v>
      </c>
      <c r="F18" s="32">
        <f>IFERROR(HistoricalFS!F23,0)</f>
        <v>7.8130605447998658E-2</v>
      </c>
      <c r="G18" s="32">
        <f>IFERROR(HistoricalFS!G23,0)</f>
        <v>8.206839774331566E-2</v>
      </c>
      <c r="H18" s="32">
        <f>IFERROR(HistoricalFS!H23,0)</f>
        <v>9.4264230933596482E-2</v>
      </c>
      <c r="I18" s="32">
        <f>IFERROR(HistoricalFS!I23,0)</f>
        <v>8.9191478279219347E-2</v>
      </c>
      <c r="J18" s="32">
        <f>IFERROR(HistoricalFS!J23,0)</f>
        <v>7.1857611147098821E-2</v>
      </c>
      <c r="K18" s="32">
        <f>IFERROR(HistoricalFS!K23,0)</f>
        <v>6.2760359065103591E-2</v>
      </c>
      <c r="L18" s="32">
        <f>IFERROR(HistoricalFS!L23,0)</f>
        <v>5.2891208678743216E-2</v>
      </c>
      <c r="M18" s="31"/>
      <c r="N18" s="32">
        <f t="shared" si="2"/>
        <v>7.3268317576601599E-2</v>
      </c>
      <c r="O18" s="32">
        <f t="shared" si="3"/>
        <v>7.2892541664808796E-2</v>
      </c>
    </row>
    <row r="19" spans="2:15" x14ac:dyDescent="0.35">
      <c r="B19" s="33" t="s">
        <v>136</v>
      </c>
      <c r="C19" s="35">
        <f>C13</f>
        <v>7.941702777851016E-2</v>
      </c>
      <c r="D19" s="35">
        <f t="shared" ref="D19:L19" si="4">D13</f>
        <v>4.3322300645279477E-2</v>
      </c>
      <c r="E19" s="35">
        <f t="shared" si="4"/>
        <v>3.3970412259310953E-2</v>
      </c>
      <c r="F19" s="35">
        <f t="shared" si="4"/>
        <v>3.5560233478087724E-3</v>
      </c>
      <c r="G19" s="35">
        <f t="shared" si="4"/>
        <v>-1.3170363258273456E-2</v>
      </c>
      <c r="H19" s="35">
        <f t="shared" si="4"/>
        <v>3.4991608110258476E-2</v>
      </c>
      <c r="I19" s="35">
        <f t="shared" si="4"/>
        <v>-4.1514992694289269E-4</v>
      </c>
      <c r="J19" s="35">
        <f t="shared" si="4"/>
        <v>2.0104346955433228E-2</v>
      </c>
      <c r="K19" s="35">
        <f t="shared" si="4"/>
        <v>7.0469752267197525E-2</v>
      </c>
      <c r="L19" s="35">
        <f t="shared" si="4"/>
        <v>7.2686748769033083E-2</v>
      </c>
      <c r="M19" s="33"/>
      <c r="N19" s="34">
        <f t="shared" si="2"/>
        <v>3.4493270694761533E-2</v>
      </c>
      <c r="O19" s="34">
        <f t="shared" si="3"/>
        <v>3.4481010184784715E-2</v>
      </c>
    </row>
    <row r="20" spans="2:15" x14ac:dyDescent="0.35">
      <c r="O20" s="14"/>
    </row>
    <row r="21" spans="2:15" x14ac:dyDescent="0.35">
      <c r="B21" s="28" t="s">
        <v>137</v>
      </c>
      <c r="C21" s="36">
        <f>IFERROR((HistoricalFS!C16-HistoricalFS!C22)/SUM(HistoricalFS!C46:C48),0)</f>
        <v>0.1462081011853561</v>
      </c>
      <c r="D21" s="36">
        <f>IFERROR((HistoricalFS!D16-HistoricalFS!D22)/SUM(HistoricalFS!D46:D48),0)</f>
        <v>8.5490986154773282E-2</v>
      </c>
      <c r="E21" s="36">
        <f>IFERROR((HistoricalFS!E16-HistoricalFS!E22)/SUM(HistoricalFS!E46:E48),0)</f>
        <v>5.3716113570365424E-2</v>
      </c>
      <c r="F21" s="36">
        <f>IFERROR((HistoricalFS!F16-HistoricalFS!F22)/SUM(HistoricalFS!F46:F48),0)</f>
        <v>6.4542733637543747E-3</v>
      </c>
      <c r="G21" s="36">
        <f>IFERROR((HistoricalFS!G16-HistoricalFS!G22)/SUM(HistoricalFS!G46:G48),0)</f>
        <v>-1.8302177555437667E-2</v>
      </c>
      <c r="H21" s="36">
        <f>IFERROR((HistoricalFS!H16-HistoricalFS!H22)/SUM(HistoricalFS!H46:H48),0)</f>
        <v>4.4284324706251613E-2</v>
      </c>
      <c r="I21" s="36">
        <f>IFERROR((HistoricalFS!I16-HistoricalFS!I22)/SUM(HistoricalFS!I46:I48),0)</f>
        <v>-6.0520306054739361E-4</v>
      </c>
      <c r="J21" s="36">
        <f>IFERROR((HistoricalFS!J16-HistoricalFS!J22)/SUM(HistoricalFS!J46:J48),0)</f>
        <v>3.8762956416083731E-2</v>
      </c>
      <c r="K21" s="36">
        <f>IFERROR((HistoricalFS!K16-HistoricalFS!K22)/SUM(HistoricalFS!K46:K48),0)</f>
        <v>0.15914601783725843</v>
      </c>
      <c r="L21" s="36">
        <f>IFERROR((HistoricalFS!L16-HistoricalFS!L22)/SUM(HistoricalFS!L46:L48),0)</f>
        <v>0.17028622578376421</v>
      </c>
      <c r="M21" s="28"/>
      <c r="N21" s="30">
        <f t="shared" si="2"/>
        <v>6.854416184016221E-2</v>
      </c>
      <c r="O21" s="30">
        <f t="shared" si="3"/>
        <v>4.9000219138308515E-2</v>
      </c>
    </row>
    <row r="22" spans="2:15" x14ac:dyDescent="0.35">
      <c r="B22" s="31" t="s">
        <v>138</v>
      </c>
      <c r="C22" s="37">
        <f>IFERROR(HistoricalFS!C42,0)</f>
        <v>0.99506765991253665</v>
      </c>
      <c r="D22" s="37">
        <f>IFERROR(HistoricalFS!D42,0)</f>
        <v>1</v>
      </c>
      <c r="E22" s="37">
        <f>IFERROR(HistoricalFS!E42,0)</f>
        <v>1</v>
      </c>
      <c r="F22" s="37">
        <f>IFERROR(HistoricalFS!F42,0)</f>
        <v>0</v>
      </c>
      <c r="G22" s="37">
        <f>IFERROR(HistoricalFS!G42,0)</f>
        <v>0</v>
      </c>
      <c r="H22" s="37">
        <f>IFERROR(HistoricalFS!H42,0)</f>
        <v>0</v>
      </c>
      <c r="I22" s="37">
        <f>IFERROR(HistoricalFS!I42,0)</f>
        <v>0</v>
      </c>
      <c r="J22" s="37">
        <f>IFERROR(HistoricalFS!J42,0)</f>
        <v>0</v>
      </c>
      <c r="K22" s="37">
        <f>IFERROR(HistoricalFS!K42,0)</f>
        <v>0.9148250971682399</v>
      </c>
      <c r="L22" s="37">
        <f>IFERROR(HistoricalFS!L42,0)</f>
        <v>0.8651603053435114</v>
      </c>
      <c r="M22" s="31"/>
      <c r="N22" s="32">
        <f t="shared" si="2"/>
        <v>0.47750530624242887</v>
      </c>
      <c r="O22" s="32">
        <f t="shared" si="3"/>
        <v>0.4325801526717557</v>
      </c>
    </row>
    <row r="23" spans="2:15" x14ac:dyDescent="0.35">
      <c r="B23" s="31" t="s">
        <v>139</v>
      </c>
      <c r="C23" s="37">
        <f>IFERROR(HistoricalFS!C31/SUM(HistoricalFS!C46:C47),0)</f>
        <v>0.17441316864171685</v>
      </c>
      <c r="D23" s="37">
        <f>IFERROR(HistoricalFS!D31/SUM(HistoricalFS!D46:D47),0)</f>
        <v>7.2241189530689462E-2</v>
      </c>
      <c r="E23" s="37">
        <f>IFERROR(HistoricalFS!E31/SUM(HistoricalFS!E46:E47),0)</f>
        <v>9.2254980749341738E-3</v>
      </c>
      <c r="F23" s="37">
        <f>IFERROR(HistoricalFS!F31/SUM(HistoricalFS!F46:F47),0)</f>
        <v>-3.7345736658758823E-2</v>
      </c>
      <c r="G23" s="37">
        <f>IFERROR(HistoricalFS!G31/SUM(HistoricalFS!G46:G47),0)</f>
        <v>-0.17560555073176304</v>
      </c>
      <c r="H23" s="37">
        <f>IFERROR(HistoricalFS!H31/SUM(HistoricalFS!H46:H47),0)</f>
        <v>-3.4360591904822796E-2</v>
      </c>
      <c r="I23" s="37">
        <f>IFERROR(HistoricalFS!I31/SUM(HistoricalFS!I46:I47),0)</f>
        <v>-0.30651638060341196</v>
      </c>
      <c r="J23" s="37">
        <f>IFERROR(HistoricalFS!J31/SUM(HistoricalFS!J46:J47),0)</f>
        <v>-8.7686298356707479E-2</v>
      </c>
      <c r="K23" s="37">
        <f>IFERROR(HistoricalFS!K31/SUM(HistoricalFS!K46:K47),0)</f>
        <v>0.31813043171059141</v>
      </c>
      <c r="L23" s="37">
        <f>IFERROR(HistoricalFS!L31/SUM(HistoricalFS!L46:L47),0)</f>
        <v>0.14098877255820361</v>
      </c>
      <c r="M23" s="31"/>
      <c r="N23" s="32">
        <f t="shared" si="2"/>
        <v>7.348450226067141E-3</v>
      </c>
      <c r="O23" s="32">
        <f t="shared" si="3"/>
        <v>-1.256754691494431E-2</v>
      </c>
    </row>
    <row r="24" spans="2:15" x14ac:dyDescent="0.35">
      <c r="B24" s="31" t="s">
        <v>140</v>
      </c>
      <c r="C24" s="37">
        <f>IFERROR(C22*C23,0)</f>
        <v>0.17355290357824379</v>
      </c>
      <c r="D24" s="37">
        <f t="shared" ref="D24:L24" si="5">IFERROR(D22*D23,0)</f>
        <v>7.2241189530689462E-2</v>
      </c>
      <c r="E24" s="37">
        <f t="shared" si="5"/>
        <v>9.2254980749341738E-3</v>
      </c>
      <c r="F24" s="37">
        <f t="shared" si="5"/>
        <v>0</v>
      </c>
      <c r="G24" s="37">
        <f t="shared" si="5"/>
        <v>0</v>
      </c>
      <c r="H24" s="37">
        <f t="shared" si="5"/>
        <v>0</v>
      </c>
      <c r="I24" s="37">
        <f t="shared" si="5"/>
        <v>0</v>
      </c>
      <c r="J24" s="37">
        <f t="shared" si="5"/>
        <v>0</v>
      </c>
      <c r="K24" s="37">
        <f t="shared" si="5"/>
        <v>0.29103370310181592</v>
      </c>
      <c r="L24" s="37">
        <f t="shared" si="5"/>
        <v>0.12197788951646231</v>
      </c>
      <c r="M24" s="31"/>
      <c r="N24" s="32">
        <f t="shared" si="2"/>
        <v>6.6803118380214549E-2</v>
      </c>
      <c r="O24" s="32">
        <f t="shared" si="3"/>
        <v>4.6127490374670869E-3</v>
      </c>
    </row>
    <row r="25" spans="2:15" x14ac:dyDescent="0.35">
      <c r="B25" s="33" t="s">
        <v>141</v>
      </c>
      <c r="C25" s="38">
        <f>IFERROR((HistoricalFS!C16-HistoricalFS!C22)/HistoricalFS!C19,0)</f>
        <v>4.4352863933500721</v>
      </c>
      <c r="D25" s="38">
        <f>IFERROR((HistoricalFS!D16-HistoricalFS!D22)/HistoricalFS!D19,0)</f>
        <v>2.7568835373205922</v>
      </c>
      <c r="E25" s="38">
        <f>IFERROR((HistoricalFS!E16-HistoricalFS!E22)/HistoricalFS!E19,0)</f>
        <v>2.1154494328024094</v>
      </c>
      <c r="F25" s="38">
        <f>IFERROR((HistoricalFS!F16-HistoricalFS!F22)/HistoricalFS!F19,0)</f>
        <v>0.18645156808947008</v>
      </c>
      <c r="G25" s="38">
        <f>IFERROR((HistoricalFS!G16-HistoricalFS!G22)/HistoricalFS!G19,0)</f>
        <v>-0.47469326953211261</v>
      </c>
      <c r="H25" s="38">
        <f>IFERROR((HistoricalFS!H16-HistoricalFS!H22)/HistoricalFS!H19,0)</f>
        <v>1.079478385658198</v>
      </c>
      <c r="I25" s="38">
        <f>IFERROR((HistoricalFS!I16-HistoricalFS!I22)/HistoricalFS!I19,0)</f>
        <v>-1.2414275987824557E-2</v>
      </c>
      <c r="J25" s="38">
        <f>IFERROR((HistoricalFS!J16-HistoricalFS!J22)/HistoricalFS!J19,0)</f>
        <v>0.68020669934320532</v>
      </c>
      <c r="K25" s="38">
        <f>IFERROR((HistoricalFS!K16-HistoricalFS!K22)/HistoricalFS!K19,0)</f>
        <v>4.0275217276797468</v>
      </c>
      <c r="L25" s="38">
        <f>IFERROR((HistoricalFS!L16-HistoricalFS!L22)/HistoricalFS!L19,0)</f>
        <v>6.2876254180602009</v>
      </c>
      <c r="M25" s="33"/>
      <c r="N25" s="38">
        <f t="shared" si="2"/>
        <v>2.108179561678396</v>
      </c>
      <c r="O25" s="38">
        <f t="shared" si="3"/>
        <v>1.5974639092303038</v>
      </c>
    </row>
    <row r="26" spans="2:15" x14ac:dyDescent="0.35">
      <c r="O26" s="14"/>
    </row>
    <row r="27" spans="2:15" x14ac:dyDescent="0.35">
      <c r="B27" s="28" t="s">
        <v>142</v>
      </c>
      <c r="C27" s="39">
        <f>IFERROR(HistoricalFS!C5/HistoricalFS!C58,0)</f>
        <v>20.119918266350599</v>
      </c>
      <c r="D27" s="39">
        <f>IFERROR(HistoricalFS!D5/HistoricalFS!D58,0)</f>
        <v>19.160353236640844</v>
      </c>
      <c r="E27" s="39">
        <f>IFERROR(HistoricalFS!E5/HistoricalFS!E58,0)</f>
        <v>14.655712224718874</v>
      </c>
      <c r="F27" s="39">
        <f>IFERROR(HistoricalFS!F5/HistoricalFS!F58,0)</f>
        <v>15.894698773489607</v>
      </c>
      <c r="G27" s="39">
        <f>IFERROR(HistoricalFS!G5/HistoricalFS!G58,0)</f>
        <v>23.366617170976728</v>
      </c>
      <c r="H27" s="39">
        <f>IFERROR(HistoricalFS!H5/HistoricalFS!H58,0)</f>
        <v>19.701330853658153</v>
      </c>
      <c r="I27" s="39">
        <f>IFERROR(HistoricalFS!I5/HistoricalFS!I58,0)</f>
        <v>22.379917570317598</v>
      </c>
      <c r="J27" s="39">
        <f>IFERROR(HistoricalFS!J5/HistoricalFS!J58,0)</f>
        <v>21.982947610142858</v>
      </c>
      <c r="K27" s="39">
        <f>IFERROR(HistoricalFS!K5/HistoricalFS!K58,0)</f>
        <v>25.602642756016991</v>
      </c>
      <c r="L27" s="39">
        <f>IFERROR(HistoricalFS!L5/HistoricalFS!L58,0)</f>
        <v>33.189538043478258</v>
      </c>
      <c r="M27" s="28"/>
      <c r="N27" s="39">
        <f t="shared" si="2"/>
        <v>21.605367650579048</v>
      </c>
      <c r="O27" s="39">
        <f t="shared" si="3"/>
        <v>21.051432938246727</v>
      </c>
    </row>
    <row r="28" spans="2:15" x14ac:dyDescent="0.35">
      <c r="B28" s="31" t="s">
        <v>143</v>
      </c>
      <c r="C28" s="40">
        <f>IFERROR(HistoricalFS!C5/HistoricalFS!C49,0)</f>
        <v>2.3769603927858673</v>
      </c>
      <c r="D28" s="40">
        <f>IFERROR(HistoricalFS!D5/HistoricalFS!D49,0)</f>
        <v>1.9842807783040648</v>
      </c>
      <c r="E28" s="40">
        <f>IFERROR(HistoricalFS!E5/HistoricalFS!E49,0)</f>
        <v>2.0414780318629697</v>
      </c>
      <c r="F28" s="40">
        <f>IFERROR(HistoricalFS!F5/HistoricalFS!F49,0)</f>
        <v>2.1667847518227492</v>
      </c>
      <c r="G28" s="40">
        <f>IFERROR(HistoricalFS!G5/HistoricalFS!G49,0)</f>
        <v>1.9731057108276859</v>
      </c>
      <c r="H28" s="40">
        <f>IFERROR(HistoricalFS!H5/HistoricalFS!H49,0)</f>
        <v>1.7323684804395676</v>
      </c>
      <c r="I28" s="40">
        <f>IFERROR(HistoricalFS!I5/HistoricalFS!I49,0)</f>
        <v>2.0170312149360217</v>
      </c>
      <c r="J28" s="40">
        <f>IFERROR(HistoricalFS!J5/HistoricalFS!J49,0)</f>
        <v>2.2286057258733614</v>
      </c>
      <c r="K28" s="40">
        <f>IFERROR(HistoricalFS!K5/HistoricalFS!K49,0)</f>
        <v>2.4473804408505742</v>
      </c>
      <c r="L28" s="40">
        <f>IFERROR(HistoricalFS!L5/HistoricalFS!L49,0)</f>
        <v>2.3228766594994954</v>
      </c>
      <c r="M28" s="31"/>
      <c r="N28" s="40">
        <f t="shared" si="2"/>
        <v>2.1290872187202359</v>
      </c>
      <c r="O28" s="40">
        <f t="shared" si="3"/>
        <v>2.1041313918428592</v>
      </c>
    </row>
    <row r="29" spans="2:15" x14ac:dyDescent="0.35">
      <c r="B29" s="31" t="s">
        <v>144</v>
      </c>
      <c r="C29" s="40">
        <f>IFERROR(HistoricalFS!C5/HistoricalFS!C59,0)</f>
        <v>8.3613381173839922</v>
      </c>
      <c r="D29" s="40">
        <f>IFERROR(HistoricalFS!D5/HistoricalFS!D59,0)</f>
        <v>7.6867643466738649</v>
      </c>
      <c r="E29" s="40">
        <f>IFERROR(HistoricalFS!E5/HistoricalFS!E59,0)</f>
        <v>6.9190051742350009</v>
      </c>
      <c r="F29" s="40">
        <f>IFERROR(HistoricalFS!F5/HistoricalFS!F59,0)</f>
        <v>7.7392856309817084</v>
      </c>
      <c r="G29" s="40">
        <f>IFERROR(HistoricalFS!G5/HistoricalFS!G59,0)</f>
        <v>6.9698269049637886</v>
      </c>
      <c r="H29" s="40">
        <f>IFERROR(HistoricalFS!H5/HistoricalFS!H59,0)</f>
        <v>6.9217098811563442</v>
      </c>
      <c r="I29" s="40">
        <f>IFERROR(HistoricalFS!I5/HistoricalFS!I59,0)</f>
        <v>7.9015588385356104</v>
      </c>
      <c r="J29" s="40">
        <f>IFERROR(HistoricalFS!J5/HistoricalFS!J59,0)</f>
        <v>8.4888641723217457</v>
      </c>
      <c r="K29" s="40">
        <f>IFERROR(HistoricalFS!K5/HistoricalFS!K59,0)</f>
        <v>9.0821126642671803</v>
      </c>
      <c r="L29" s="40">
        <f>IFERROR(HistoricalFS!L5/HistoricalFS!L59,0)</f>
        <v>9.3019738094734397</v>
      </c>
      <c r="M29" s="31"/>
      <c r="N29" s="40">
        <f t="shared" si="2"/>
        <v>7.9372439539992667</v>
      </c>
      <c r="O29" s="40">
        <f t="shared" si="3"/>
        <v>7.8204222347586594</v>
      </c>
    </row>
    <row r="30" spans="2:15" x14ac:dyDescent="0.35">
      <c r="B30" s="31" t="s">
        <v>145</v>
      </c>
      <c r="C30" s="40">
        <f>IFERROR(HistoricalFS!C5/HistoricalFS!C52,0)</f>
        <v>2.546312771514708</v>
      </c>
      <c r="D30" s="40">
        <f>IFERROR(HistoricalFS!D5/HistoricalFS!D52,0)</f>
        <v>2.8109343484246239</v>
      </c>
      <c r="E30" s="40">
        <f>IFERROR(HistoricalFS!E5/HistoricalFS!E52,0)</f>
        <v>2.4012948768781421</v>
      </c>
      <c r="F30" s="40">
        <f>IFERROR(HistoricalFS!F5/HistoricalFS!F52,0)</f>
        <v>2.7144319562092578</v>
      </c>
      <c r="G30" s="40">
        <f>IFERROR(HistoricalFS!G5/HistoricalFS!G52,0)</f>
        <v>2.0539205744067566</v>
      </c>
      <c r="H30" s="40">
        <f>IFERROR(HistoricalFS!H5/HistoricalFS!H52,0)</f>
        <v>1.8008727134726064</v>
      </c>
      <c r="I30" s="40">
        <f>IFERROR(HistoricalFS!I5/HistoricalFS!I52,0)</f>
        <v>2.0053488717943728</v>
      </c>
      <c r="J30" s="40">
        <f>IFERROR(HistoricalFS!J5/HistoricalFS!J52,0)</f>
        <v>2.6193791539294131</v>
      </c>
      <c r="K30" s="40">
        <f>IFERROR(HistoricalFS!K5/HistoricalFS!K52,0)</f>
        <v>3.5784804386362699</v>
      </c>
      <c r="L30" s="40">
        <f>IFERROR(HistoricalFS!L5/HistoricalFS!L52,0)</f>
        <v>3.8004010475638954</v>
      </c>
      <c r="M30" s="31"/>
      <c r="N30" s="40">
        <f t="shared" si="2"/>
        <v>2.6331376752830042</v>
      </c>
      <c r="O30" s="40">
        <f t="shared" si="3"/>
        <v>2.5828459627220606</v>
      </c>
    </row>
    <row r="31" spans="2:15" x14ac:dyDescent="0.35">
      <c r="B31" s="33" t="s">
        <v>146</v>
      </c>
      <c r="C31" s="38">
        <f>IFERROR(HistoricalFS!C5/(HistoricalFS!C46+HistoricalFS!C47),0)</f>
        <v>3.4583567493379874</v>
      </c>
      <c r="D31" s="38">
        <f>IFERROR(HistoricalFS!D5/(HistoricalFS!D46+HistoricalFS!D47),0)</f>
        <v>4.6449144180459854</v>
      </c>
      <c r="E31" s="38">
        <f>IFERROR(HistoricalFS!E5/(HistoricalFS!E46+HistoricalFS!E47),0)</f>
        <v>3.0551908765475422</v>
      </c>
      <c r="F31" s="38">
        <f>IFERROR(HistoricalFS!F5/(HistoricalFS!F46+HistoricalFS!F47),0)</f>
        <v>5.0172915853821474</v>
      </c>
      <c r="G31" s="38">
        <f>IFERROR(HistoricalFS!G5/(HistoricalFS!G46+HistoricalFS!G47),0)</f>
        <v>4.1387770133514525</v>
      </c>
      <c r="H31" s="38">
        <f>IFERROR(HistoricalFS!H5/(HistoricalFS!H46+HistoricalFS!H47),0)</f>
        <v>4.5214403678625628</v>
      </c>
      <c r="I31" s="38">
        <f>IFERROR(HistoricalFS!I5/(HistoricalFS!I46+HistoricalFS!I47),0)</f>
        <v>6.2487852671963351</v>
      </c>
      <c r="J31" s="38">
        <f>IFERROR(HistoricalFS!J5/(HistoricalFS!J46+HistoricalFS!J47),0)</f>
        <v>7.6335680916398054</v>
      </c>
      <c r="K31" s="38">
        <f>IFERROR(HistoricalFS!K5/(HistoricalFS!K46+HistoricalFS!K47),0)</f>
        <v>5.1110012011587651</v>
      </c>
      <c r="L31" s="38">
        <f>IFERROR(HistoricalFS!L5/(HistoricalFS!L46+HistoricalFS!L47),0)</f>
        <v>3.7857745557239291</v>
      </c>
      <c r="M31" s="33"/>
      <c r="N31" s="38">
        <f t="shared" si="2"/>
        <v>4.7615100126246501</v>
      </c>
      <c r="O31" s="38">
        <f t="shared" si="3"/>
        <v>4.5831773929542745</v>
      </c>
    </row>
    <row r="32" spans="2:15" x14ac:dyDescent="0.35">
      <c r="C32" s="26"/>
      <c r="D32" s="26"/>
      <c r="E32" s="26"/>
      <c r="F32" s="26"/>
      <c r="G32" s="26"/>
      <c r="H32" s="26"/>
      <c r="I32" s="26"/>
      <c r="J32" s="26"/>
      <c r="K32" s="26"/>
      <c r="L32" s="26"/>
      <c r="O32" s="14"/>
    </row>
    <row r="33" spans="2:15" x14ac:dyDescent="0.35">
      <c r="B33" s="41" t="s">
        <v>151</v>
      </c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30"/>
    </row>
    <row r="34" spans="2:15" x14ac:dyDescent="0.35">
      <c r="B34" s="31" t="s">
        <v>149</v>
      </c>
      <c r="C34" s="42">
        <f>IFERROR(365/C27,0)</f>
        <v>18.141226776772818</v>
      </c>
      <c r="D34" s="42">
        <f t="shared" ref="D34:L34" si="6">IFERROR(365/D27,0)</f>
        <v>19.049753180019717</v>
      </c>
      <c r="E34" s="42">
        <f t="shared" si="6"/>
        <v>24.904964999543136</v>
      </c>
      <c r="F34" s="42">
        <f t="shared" si="6"/>
        <v>22.963631157878556</v>
      </c>
      <c r="G34" s="42">
        <f t="shared" si="6"/>
        <v>15.620575170519771</v>
      </c>
      <c r="H34" s="42">
        <f t="shared" si="6"/>
        <v>18.52666719376608</v>
      </c>
      <c r="I34" s="42">
        <f t="shared" si="6"/>
        <v>16.309264717046954</v>
      </c>
      <c r="J34" s="42">
        <f t="shared" si="6"/>
        <v>16.603778823163378</v>
      </c>
      <c r="K34" s="42">
        <f t="shared" si="6"/>
        <v>14.256340780063407</v>
      </c>
      <c r="L34" s="42">
        <f t="shared" si="6"/>
        <v>10.997441408248902</v>
      </c>
      <c r="M34" s="31"/>
      <c r="N34" s="43">
        <f t="shared" ref="N34:N37" si="7">IFERROR(AVERAGE(C34:L34),0)</f>
        <v>17.737364420702271</v>
      </c>
      <c r="O34" s="43">
        <f t="shared" si="3"/>
        <v>17.372502799968096</v>
      </c>
    </row>
    <row r="35" spans="2:15" x14ac:dyDescent="0.35">
      <c r="B35" s="31" t="s">
        <v>147</v>
      </c>
      <c r="C35" s="42">
        <f>IFERROR(365/C28,0)</f>
        <v>153.55745981623585</v>
      </c>
      <c r="D35" s="42">
        <f t="shared" ref="D35:L35" si="8">IFERROR(365/D28,0)</f>
        <v>183.94574194885871</v>
      </c>
      <c r="E35" s="42">
        <f t="shared" si="8"/>
        <v>178.79202925682029</v>
      </c>
      <c r="F35" s="42">
        <f t="shared" si="8"/>
        <v>168.45235766633192</v>
      </c>
      <c r="G35" s="42">
        <f t="shared" si="8"/>
        <v>184.98755439052903</v>
      </c>
      <c r="H35" s="42">
        <f t="shared" si="8"/>
        <v>210.69420514242194</v>
      </c>
      <c r="I35" s="42">
        <f t="shared" si="8"/>
        <v>180.95902398395825</v>
      </c>
      <c r="J35" s="42">
        <f t="shared" si="8"/>
        <v>163.77953074537726</v>
      </c>
      <c r="K35" s="42">
        <f t="shared" si="8"/>
        <v>149.13905247732802</v>
      </c>
      <c r="L35" s="42">
        <f t="shared" si="8"/>
        <v>157.13275111156597</v>
      </c>
      <c r="M35" s="31"/>
      <c r="N35" s="43">
        <f t="shared" si="7"/>
        <v>173.14397065394274</v>
      </c>
      <c r="O35" s="43">
        <f t="shared" si="3"/>
        <v>173.6221934615761</v>
      </c>
    </row>
    <row r="36" spans="2:15" x14ac:dyDescent="0.35">
      <c r="B36" s="31" t="s">
        <v>148</v>
      </c>
      <c r="C36" s="42">
        <f>IFERROR(365/C29,0)</f>
        <v>43.653299851746382</v>
      </c>
      <c r="D36" s="42">
        <f t="shared" ref="D36:L36" si="9">IFERROR(365/D29,0)</f>
        <v>47.484218786795374</v>
      </c>
      <c r="E36" s="42">
        <f t="shared" si="9"/>
        <v>52.753248596949661</v>
      </c>
      <c r="F36" s="42">
        <f t="shared" si="9"/>
        <v>47.161975588398164</v>
      </c>
      <c r="G36" s="42">
        <f t="shared" si="9"/>
        <v>52.368588915752468</v>
      </c>
      <c r="H36" s="42">
        <f t="shared" si="9"/>
        <v>52.732634893247351</v>
      </c>
      <c r="I36" s="42">
        <f t="shared" si="9"/>
        <v>46.193416698982041</v>
      </c>
      <c r="J36" s="42">
        <f t="shared" si="9"/>
        <v>42.997507392107408</v>
      </c>
      <c r="K36" s="42">
        <f t="shared" si="9"/>
        <v>40.188887045638872</v>
      </c>
      <c r="L36" s="42">
        <f t="shared" si="9"/>
        <v>39.238983841071651</v>
      </c>
      <c r="M36" s="31"/>
      <c r="N36" s="43">
        <f t="shared" si="7"/>
        <v>46.477276161068936</v>
      </c>
      <c r="O36" s="43">
        <f t="shared" si="3"/>
        <v>46.677696143690099</v>
      </c>
    </row>
    <row r="37" spans="2:15" x14ac:dyDescent="0.35">
      <c r="B37" s="33" t="s">
        <v>150</v>
      </c>
      <c r="C37" s="44">
        <f>C34+C36-C35</f>
        <v>-91.762933187716641</v>
      </c>
      <c r="D37" s="44">
        <f t="shared" ref="D37:L37" si="10">D34+D36-D35</f>
        <v>-117.41176998204362</v>
      </c>
      <c r="E37" s="44">
        <f t="shared" si="10"/>
        <v>-101.13381566032749</v>
      </c>
      <c r="F37" s="44">
        <f t="shared" si="10"/>
        <v>-98.326750920055204</v>
      </c>
      <c r="G37" s="44">
        <f t="shared" si="10"/>
        <v>-116.99839030425679</v>
      </c>
      <c r="H37" s="44">
        <f t="shared" si="10"/>
        <v>-139.43490305540851</v>
      </c>
      <c r="I37" s="44">
        <f t="shared" si="10"/>
        <v>-118.45634256792925</v>
      </c>
      <c r="J37" s="44">
        <f t="shared" si="10"/>
        <v>-104.17824453010647</v>
      </c>
      <c r="K37" s="44">
        <f t="shared" si="10"/>
        <v>-94.693824651625746</v>
      </c>
      <c r="L37" s="44">
        <f t="shared" si="10"/>
        <v>-106.89632586224542</v>
      </c>
      <c r="M37" s="33"/>
      <c r="N37" s="45">
        <f t="shared" si="7"/>
        <v>-108.92933007217152</v>
      </c>
      <c r="O37" s="45">
        <f t="shared" si="3"/>
        <v>-105.53728519617594</v>
      </c>
    </row>
    <row r="38" spans="2:15" x14ac:dyDescent="0.35">
      <c r="O38" s="14"/>
    </row>
    <row r="39" spans="2:15" x14ac:dyDescent="0.35">
      <c r="B39" s="28" t="s">
        <v>152</v>
      </c>
      <c r="C39" s="30">
        <f>IFERROR(HistoricalFS!C78/HistoricalFS!C5,0)</f>
        <v>0.11736867395043173</v>
      </c>
      <c r="D39" s="30">
        <f>IFERROR(HistoricalFS!D78/HistoricalFS!D5,0)</f>
        <v>9.4452011292415941E-2</v>
      </c>
      <c r="E39" s="30">
        <f>IFERROR(HistoricalFS!E78/HistoricalFS!E5,0)</f>
        <v>8.0133635862990174E-2</v>
      </c>
      <c r="F39" s="30">
        <f>IFERROR(HistoricalFS!F78/HistoricalFS!F5,0)</f>
        <v>4.7625608402243634E-2</v>
      </c>
      <c r="G39" s="30">
        <f>IFERROR(HistoricalFS!G78/HistoricalFS!G5,0)</f>
        <v>9.8663960960051894E-2</v>
      </c>
      <c r="H39" s="30">
        <f>IFERROR(HistoricalFS!H78/HistoricalFS!H5,0)</f>
        <v>0.13270895405127608</v>
      </c>
      <c r="I39" s="30">
        <f>IFERROR(HistoricalFS!I78/HistoricalFS!I5,0)</f>
        <v>6.7077598057443108E-2</v>
      </c>
      <c r="J39" s="30">
        <f>IFERROR(HistoricalFS!J78/HistoricalFS!J5,0)</f>
        <v>0.10862886708520181</v>
      </c>
      <c r="K39" s="30">
        <f>IFERROR(HistoricalFS!K78/HistoricalFS!K5,0)</f>
        <v>0.15012119368871193</v>
      </c>
      <c r="L39" s="30">
        <f>IFERROR(HistoricalFS!L78/HistoricalFS!L5,0)</f>
        <v>0.14089084479013861</v>
      </c>
      <c r="M39" s="28"/>
      <c r="N39" s="30">
        <f t="shared" ref="N39:N41" si="11">IFERROR(AVERAGE(C39:L39),0)</f>
        <v>0.10376713481409047</v>
      </c>
      <c r="O39" s="30">
        <f t="shared" si="3"/>
        <v>0.10364641402262685</v>
      </c>
    </row>
    <row r="40" spans="2:15" x14ac:dyDescent="0.35">
      <c r="B40" s="31" t="s">
        <v>153</v>
      </c>
      <c r="C40" s="32">
        <f>IFERROR(HistoricalFS!C78/HistoricalFS!C63,0)</f>
        <v>0.12176646524113993</v>
      </c>
      <c r="D40" s="32">
        <f>IFERROR(HistoricalFS!D78/HistoricalFS!D63,0)</f>
        <v>9.3451340368029448E-2</v>
      </c>
      <c r="E40" s="32">
        <f>IFERROR(HistoricalFS!E78/HistoricalFS!E63,0)</f>
        <v>7.1404599033209296E-2</v>
      </c>
      <c r="F40" s="32">
        <f>IFERROR(HistoricalFS!F78/HistoricalFS!F63,0)</f>
        <v>4.7039044271297001E-2</v>
      </c>
      <c r="G40" s="32">
        <f>IFERROR(HistoricalFS!G78/HistoricalFS!G63,0)</f>
        <v>8.0448650989059595E-2</v>
      </c>
      <c r="H40" s="32">
        <f>IFERROR(HistoricalFS!H78/HistoricalFS!H63,0)</f>
        <v>9.7051874387881543E-2</v>
      </c>
      <c r="I40" s="32">
        <f>IFERROR(HistoricalFS!I78/HistoricalFS!I63,0)</f>
        <v>5.6761427780564665E-2</v>
      </c>
      <c r="J40" s="32">
        <f>IFERROR(HistoricalFS!J78/HistoricalFS!J63,0)</f>
        <v>0.11229420783655328</v>
      </c>
      <c r="K40" s="32">
        <f>IFERROR(HistoricalFS!K78/HistoricalFS!K63,0)</f>
        <v>0.17632286121763038</v>
      </c>
      <c r="L40" s="32">
        <f>IFERROR(HistoricalFS!L78/HistoricalFS!L63,0)</f>
        <v>0.16433272409429853</v>
      </c>
      <c r="M40" s="31"/>
      <c r="N40" s="32">
        <f t="shared" si="11"/>
        <v>0.10208731952196637</v>
      </c>
      <c r="O40" s="32">
        <f t="shared" si="3"/>
        <v>9.5251607377955488E-2</v>
      </c>
    </row>
    <row r="41" spans="2:15" x14ac:dyDescent="0.35">
      <c r="B41" s="33" t="s">
        <v>154</v>
      </c>
      <c r="C41" s="34">
        <f>IFERROR(HistoricalFS!C78/SUM(HistoricalFS!C48:C49),0)</f>
        <v>0.17394942488456519</v>
      </c>
      <c r="D41" s="34">
        <f>IFERROR(HistoricalFS!D78/SUM(HistoricalFS!D48:D49),0)</f>
        <v>0.11874501995096275</v>
      </c>
      <c r="E41" s="34">
        <f>IFERROR(HistoricalFS!E78/SUM(HistoricalFS!E48:E49),0)</f>
        <v>0.10080517285047413</v>
      </c>
      <c r="F41" s="34">
        <f>IFERROR(HistoricalFS!F78/SUM(HistoricalFS!F48:F49),0)</f>
        <v>5.8568629135253743E-2</v>
      </c>
      <c r="G41" s="34">
        <f>IFERROR(HistoricalFS!G78/SUM(HistoricalFS!G48:G49),0)</f>
        <v>0.10018636265938589</v>
      </c>
      <c r="H41" s="34">
        <f>IFERROR(HistoricalFS!H78/SUM(HistoricalFS!H48:H49),0)</f>
        <v>0.11577825743000418</v>
      </c>
      <c r="I41" s="34">
        <f>IFERROR(HistoricalFS!I78/SUM(HistoricalFS!I48:I49),0)</f>
        <v>6.5651963398977678E-2</v>
      </c>
      <c r="J41" s="34">
        <f>IFERROR(HistoricalFS!J78/SUM(HistoricalFS!J48:J49),0)</f>
        <v>0.12988303821938518</v>
      </c>
      <c r="K41" s="34">
        <f>IFERROR(HistoricalFS!K78/SUM(HistoricalFS!K48:K49),0)</f>
        <v>0.22893293464931852</v>
      </c>
      <c r="L41" s="34">
        <f>IFERROR(HistoricalFS!L78/SUM(HistoricalFS!L48:L49),0)</f>
        <v>0.23750809917608856</v>
      </c>
      <c r="M41" s="33"/>
      <c r="N41" s="34">
        <f t="shared" si="11"/>
        <v>0.13300089023544157</v>
      </c>
      <c r="O41" s="34">
        <f t="shared" si="3"/>
        <v>0.11726163869048346</v>
      </c>
    </row>
  </sheetData>
  <mergeCells count="1">
    <mergeCell ref="B2:L2"/>
  </mergeCells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'Ratio analysis'!D5:L5</xm:f>
              <xm:sqref>M5</xm:sqref>
            </x14:sparkline>
            <x14:sparkline>
              <xm:f>'Ratio analysis'!D6:L6</xm:f>
              <xm:sqref>M6</xm:sqref>
            </x14:sparkline>
            <x14:sparkline>
              <xm:f>'Ratio analysis'!D7:L7</xm:f>
              <xm:sqref>M7</xm:sqref>
            </x14:sparkline>
            <x14:sparkline>
              <xm:f>'Ratio analysis'!D8:L8</xm:f>
              <xm:sqref>M8</xm:sqref>
            </x14:sparkline>
            <x14:sparkline>
              <xm:f>'Ratio analysis'!D9:L9</xm:f>
              <xm:sqref>M9</xm:sqref>
            </x14:sparkline>
          </x14:sparklines>
        </x14:sparklineGroup>
        <x14:sparklineGroup displayEmptyCellsAs="gap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'Ratio analysis'!C11:L11</xm:f>
              <xm:sqref>M11</xm:sqref>
            </x14:sparkline>
            <x14:sparkline>
              <xm:f>'Ratio analysis'!C12:L12</xm:f>
              <xm:sqref>M12</xm:sqref>
            </x14:sparkline>
            <x14:sparkline>
              <xm:f>'Ratio analysis'!C13:L13</xm:f>
              <xm:sqref>M13</xm:sqref>
            </x14:sparkline>
            <x14:sparkline>
              <xm:f>'Ratio analysis'!C14:L14</xm:f>
              <xm:sqref>M14</xm:sqref>
            </x14:sparkline>
            <x14:sparkline>
              <xm:f>'Ratio analysis'!C15:L15</xm:f>
              <xm:sqref>M15</xm:sqref>
            </x14:sparkline>
            <x14:sparkline>
              <xm:f>'Ratio analysis'!C16:L16</xm:f>
              <xm:sqref>M16</xm:sqref>
            </x14:sparkline>
            <x14:sparkline>
              <xm:f>'Ratio analysis'!C17:L17</xm:f>
              <xm:sqref>M17</xm:sqref>
            </x14:sparkline>
            <x14:sparkline>
              <xm:f>'Ratio analysis'!C18:L18</xm:f>
              <xm:sqref>M18</xm:sqref>
            </x14:sparkline>
            <x14:sparkline>
              <xm:f>'Ratio analysis'!C19:L19</xm:f>
              <xm:sqref>M19</xm:sqref>
            </x14:sparkline>
            <x14:sparkline>
              <xm:f>'Ratio analysis'!C20:L20</xm:f>
              <xm:sqref>M20</xm:sqref>
            </x14:sparkline>
            <x14:sparkline>
              <xm:f>'Ratio analysis'!C21:L21</xm:f>
              <xm:sqref>M21</xm:sqref>
            </x14:sparkline>
            <x14:sparkline>
              <xm:f>'Ratio analysis'!C22:L22</xm:f>
              <xm:sqref>M22</xm:sqref>
            </x14:sparkline>
            <x14:sparkline>
              <xm:f>'Ratio analysis'!C23:L23</xm:f>
              <xm:sqref>M23</xm:sqref>
            </x14:sparkline>
            <x14:sparkline>
              <xm:f>'Ratio analysis'!C24:L24</xm:f>
              <xm:sqref>M24</xm:sqref>
            </x14:sparkline>
            <x14:sparkline>
              <xm:f>'Ratio analysis'!C25:L25</xm:f>
              <xm:sqref>M25</xm:sqref>
            </x14:sparkline>
            <x14:sparkline>
              <xm:f>'Ratio analysis'!C26:L26</xm:f>
              <xm:sqref>M26</xm:sqref>
            </x14:sparkline>
            <x14:sparkline>
              <xm:f>'Ratio analysis'!C27:L27</xm:f>
              <xm:sqref>M27</xm:sqref>
            </x14:sparkline>
            <x14:sparkline>
              <xm:f>'Ratio analysis'!C28:L28</xm:f>
              <xm:sqref>M28</xm:sqref>
            </x14:sparkline>
            <x14:sparkline>
              <xm:f>'Ratio analysis'!C29:L29</xm:f>
              <xm:sqref>M29</xm:sqref>
            </x14:sparkline>
            <x14:sparkline>
              <xm:f>'Ratio analysis'!C30:L30</xm:f>
              <xm:sqref>M30</xm:sqref>
            </x14:sparkline>
            <x14:sparkline>
              <xm:f>'Ratio analysis'!C31:L31</xm:f>
              <xm:sqref>M31</xm:sqref>
            </x14:sparkline>
            <x14:sparkline>
              <xm:f>'Ratio analysis'!C32:L32</xm:f>
              <xm:sqref>M32</xm:sqref>
            </x14:sparkline>
            <x14:sparkline>
              <xm:f>'Ratio analysis'!C33:L33</xm:f>
              <xm:sqref>M33</xm:sqref>
            </x14:sparkline>
            <x14:sparkline>
              <xm:f>'Ratio analysis'!C34:L34</xm:f>
              <xm:sqref>M34</xm:sqref>
            </x14:sparkline>
            <x14:sparkline>
              <xm:f>'Ratio analysis'!C35:L35</xm:f>
              <xm:sqref>M35</xm:sqref>
            </x14:sparkline>
            <x14:sparkline>
              <xm:f>'Ratio analysis'!C36:L36</xm:f>
              <xm:sqref>M36</xm:sqref>
            </x14:sparkline>
            <x14:sparkline>
              <xm:f>'Ratio analysis'!C37:L37</xm:f>
              <xm:sqref>M37</xm:sqref>
            </x14:sparkline>
            <x14:sparkline>
              <xm:f>'Ratio analysis'!C38:L38</xm:f>
              <xm:sqref>M38</xm:sqref>
            </x14:sparkline>
            <x14:sparkline>
              <xm:f>'Ratio analysis'!C39:L39</xm:f>
              <xm:sqref>M39</xm:sqref>
            </x14:sparkline>
            <x14:sparkline>
              <xm:f>'Ratio analysis'!C40:L40</xm:f>
              <xm:sqref>M40</xm:sqref>
            </x14:sparkline>
            <x14:sparkline>
              <xm:f>'Ratio analysis'!C41:L41</xm:f>
              <xm:sqref>M41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0"/>
  <sheetViews>
    <sheetView workbookViewId="0">
      <selection activeCell="N15" sqref="N15"/>
    </sheetView>
  </sheetViews>
  <sheetFormatPr defaultRowHeight="14.5" x14ac:dyDescent="0.35"/>
  <cols>
    <col min="1" max="1" width="1.90625" style="8" customWidth="1"/>
    <col min="2" max="5" width="11.6328125" style="8" customWidth="1"/>
    <col min="6" max="6" width="8.7265625" style="8"/>
    <col min="7" max="10" width="11.6328125" style="8" customWidth="1"/>
    <col min="11" max="11" width="8.7265625" style="8"/>
    <col min="12" max="15" width="11.6328125" style="8" customWidth="1"/>
    <col min="16" max="16384" width="8.7265625" style="8"/>
  </cols>
  <sheetData>
    <row r="2" spans="2:15" x14ac:dyDescent="0.35">
      <c r="B2" s="138" t="str">
        <f>'Data Sheet'!$B$1&amp;" - Sales Forecasting"</f>
        <v>TATA MOTORS LTD - Sales Forecasting</v>
      </c>
      <c r="C2" s="138"/>
      <c r="D2" s="138"/>
      <c r="E2" s="138"/>
      <c r="G2" s="138" t="str">
        <f>'Data Sheet'!$B$1&amp;" - EBITDA Forecasting"</f>
        <v>TATA MOTORS LTD - EBITDA Forecasting</v>
      </c>
      <c r="H2" s="138"/>
      <c r="I2" s="138"/>
      <c r="J2" s="138"/>
      <c r="L2" s="138" t="str">
        <f>'Data Sheet'!$B$1&amp;" - EPS Forecasting"</f>
        <v>TATA MOTORS LTD - EPS Forecasting</v>
      </c>
      <c r="M2" s="138"/>
      <c r="N2" s="138"/>
      <c r="O2" s="138"/>
    </row>
    <row r="3" spans="2:15" x14ac:dyDescent="0.35">
      <c r="B3" s="9" t="s">
        <v>157</v>
      </c>
      <c r="C3" s="46" t="s">
        <v>158</v>
      </c>
      <c r="D3" s="46" t="s">
        <v>12</v>
      </c>
      <c r="E3" s="46" t="s">
        <v>59</v>
      </c>
      <c r="G3" s="9" t="s">
        <v>157</v>
      </c>
      <c r="H3" s="46" t="s">
        <v>158</v>
      </c>
      <c r="I3" s="46" t="s">
        <v>12</v>
      </c>
      <c r="J3" s="46" t="s">
        <v>59</v>
      </c>
      <c r="L3" s="9" t="s">
        <v>157</v>
      </c>
      <c r="M3" s="46" t="s">
        <v>158</v>
      </c>
      <c r="N3" s="46" t="s">
        <v>12</v>
      </c>
      <c r="O3" s="46" t="s">
        <v>59</v>
      </c>
    </row>
    <row r="4" spans="2:15" x14ac:dyDescent="0.35">
      <c r="B4" s="47">
        <v>1</v>
      </c>
      <c r="C4" s="48">
        <f>'Data Sheet'!$B$16</f>
        <v>42460</v>
      </c>
      <c r="D4" s="12">
        <f t="array" ref="D4:D13">IFERROR(TRANSPOSE('Data Sheet'!B17:K17),0)</f>
        <v>273045.59999999998</v>
      </c>
      <c r="G4" s="47">
        <v>1</v>
      </c>
      <c r="H4" s="48">
        <f>'Data Sheet'!$B$16</f>
        <v>42460</v>
      </c>
      <c r="I4" s="12">
        <f t="array" ref="I4:I13">IFERROR(TRANSPOSE(HistoricalFS!C16:L16),0)</f>
        <v>38395.249999999971</v>
      </c>
      <c r="L4" s="47">
        <v>1</v>
      </c>
      <c r="M4" s="48">
        <f>'Data Sheet'!$B$16</f>
        <v>42460</v>
      </c>
      <c r="N4" s="12">
        <f t="array" ref="N4:N13">IFERROR(TRANSPOSE(HistoricalFS!C36:L36),0)</f>
        <v>47.694444444444336</v>
      </c>
    </row>
    <row r="5" spans="2:15" x14ac:dyDescent="0.35">
      <c r="B5" s="47">
        <v>2</v>
      </c>
      <c r="C5" s="48">
        <f>C4+365</f>
        <v>42825</v>
      </c>
      <c r="D5" s="12">
        <v>269692.51</v>
      </c>
      <c r="E5" s="14">
        <f>D5/D4-1</f>
        <v>-1.2280329732469508E-2</v>
      </c>
      <c r="G5" s="47">
        <v>2</v>
      </c>
      <c r="H5" s="48">
        <f>H4+365</f>
        <v>42825</v>
      </c>
      <c r="I5" s="12">
        <v>29588.690000000046</v>
      </c>
      <c r="J5" s="14">
        <f>I5/I4-1</f>
        <v>-0.22936587208052905</v>
      </c>
      <c r="L5" s="47">
        <v>2</v>
      </c>
      <c r="M5" s="48">
        <f>M4+365</f>
        <v>42825</v>
      </c>
      <c r="N5" s="12">
        <v>14.527274616423796</v>
      </c>
      <c r="O5" s="14">
        <f>N5/N4-1</f>
        <v>-0.6954095013446373</v>
      </c>
    </row>
    <row r="6" spans="2:15" x14ac:dyDescent="0.35">
      <c r="B6" s="47">
        <v>3</v>
      </c>
      <c r="C6" s="48">
        <f t="shared" ref="C6:C20" si="0">C5+365</f>
        <v>43190</v>
      </c>
      <c r="D6" s="12">
        <v>291550.48</v>
      </c>
      <c r="E6" s="14">
        <f t="shared" ref="E6:E20" si="1">D6/D5-1</f>
        <v>8.104774581985974E-2</v>
      </c>
      <c r="G6" s="47">
        <v>3</v>
      </c>
      <c r="H6" s="48">
        <f t="shared" ref="H6:H20" si="2">H5+365</f>
        <v>43190</v>
      </c>
      <c r="I6" s="12">
        <v>31457.679999999993</v>
      </c>
      <c r="J6" s="14">
        <f t="shared" ref="J6:J20" si="3">I6/I5-1</f>
        <v>6.3165689322506102E-2</v>
      </c>
      <c r="L6" s="47">
        <v>3</v>
      </c>
      <c r="M6" s="48">
        <f t="shared" ref="M6:M20" si="4">M5+365</f>
        <v>43190</v>
      </c>
      <c r="N6" s="12">
        <v>3.049111626779315</v>
      </c>
      <c r="O6" s="14">
        <f t="shared" ref="O6:O20" si="5">N6/N5-1</f>
        <v>-0.79011124197155702</v>
      </c>
    </row>
    <row r="7" spans="2:15" x14ac:dyDescent="0.35">
      <c r="B7" s="47">
        <v>4</v>
      </c>
      <c r="C7" s="48">
        <f t="shared" si="0"/>
        <v>43555</v>
      </c>
      <c r="D7" s="12">
        <v>301938.40000000002</v>
      </c>
      <c r="E7" s="14">
        <f t="shared" si="1"/>
        <v>3.5629919045237157E-2</v>
      </c>
      <c r="G7" s="47">
        <v>4</v>
      </c>
      <c r="H7" s="48">
        <f t="shared" si="2"/>
        <v>43555</v>
      </c>
      <c r="I7" s="12">
        <v>24664.330000000024</v>
      </c>
      <c r="J7" s="14">
        <f t="shared" si="3"/>
        <v>-0.21595203460649259</v>
      </c>
      <c r="L7" s="47">
        <v>4</v>
      </c>
      <c r="M7" s="48">
        <f t="shared" si="4"/>
        <v>43555</v>
      </c>
      <c r="N7" s="12">
        <v>-7.783915769057514</v>
      </c>
      <c r="O7" s="14">
        <f t="shared" si="5"/>
        <v>-3.5528470983790879</v>
      </c>
    </row>
    <row r="8" spans="2:15" x14ac:dyDescent="0.35">
      <c r="B8" s="47">
        <v>5</v>
      </c>
      <c r="C8" s="48">
        <f t="shared" si="0"/>
        <v>43920</v>
      </c>
      <c r="D8" s="12">
        <v>261067.97</v>
      </c>
      <c r="E8" s="14">
        <f t="shared" si="1"/>
        <v>-0.135360159555724</v>
      </c>
      <c r="G8" s="47">
        <v>5</v>
      </c>
      <c r="H8" s="48">
        <f t="shared" si="2"/>
        <v>43920</v>
      </c>
      <c r="I8" s="12">
        <v>17987.069999999963</v>
      </c>
      <c r="J8" s="14">
        <f t="shared" si="3"/>
        <v>-0.27072537547138131</v>
      </c>
      <c r="L8" s="47">
        <v>5</v>
      </c>
      <c r="M8" s="48">
        <f t="shared" si="4"/>
        <v>43920</v>
      </c>
      <c r="N8" s="12">
        <v>-35.859307219164897</v>
      </c>
      <c r="O8" s="14">
        <f t="shared" si="5"/>
        <v>3.6068467700681177</v>
      </c>
    </row>
    <row r="9" spans="2:15" x14ac:dyDescent="0.35">
      <c r="B9" s="47">
        <v>6</v>
      </c>
      <c r="C9" s="48">
        <f t="shared" si="0"/>
        <v>44285</v>
      </c>
      <c r="D9" s="12">
        <v>249794.75</v>
      </c>
      <c r="E9" s="14">
        <f t="shared" si="1"/>
        <v>-4.3181168490336042E-2</v>
      </c>
      <c r="G9" s="47">
        <v>6</v>
      </c>
      <c r="H9" s="48">
        <f t="shared" si="2"/>
        <v>44285</v>
      </c>
      <c r="I9" s="12">
        <v>32287.429999999989</v>
      </c>
      <c r="J9" s="14">
        <f t="shared" si="3"/>
        <v>0.79503554497758966</v>
      </c>
      <c r="L9" s="47">
        <v>6</v>
      </c>
      <c r="M9" s="48">
        <f t="shared" si="4"/>
        <v>44285</v>
      </c>
      <c r="N9" s="12">
        <v>-5.7172845827184648</v>
      </c>
      <c r="O9" s="14">
        <f t="shared" si="5"/>
        <v>-0.84056344011958828</v>
      </c>
    </row>
    <row r="10" spans="2:15" x14ac:dyDescent="0.35">
      <c r="B10" s="47">
        <v>7</v>
      </c>
      <c r="C10" s="48">
        <f t="shared" si="0"/>
        <v>44650</v>
      </c>
      <c r="D10" s="12">
        <v>278453.62</v>
      </c>
      <c r="E10" s="14">
        <f t="shared" si="1"/>
        <v>0.11472967306158344</v>
      </c>
      <c r="G10" s="47">
        <v>7</v>
      </c>
      <c r="H10" s="48">
        <f t="shared" si="2"/>
        <v>44650</v>
      </c>
      <c r="I10" s="12">
        <v>24720.090000000015</v>
      </c>
      <c r="J10" s="14">
        <f t="shared" si="3"/>
        <v>-0.234374182150762</v>
      </c>
      <c r="L10" s="47">
        <v>7</v>
      </c>
      <c r="M10" s="48">
        <f t="shared" si="4"/>
        <v>44650</v>
      </c>
      <c r="N10" s="12">
        <v>-41.132140813683819</v>
      </c>
      <c r="O10" s="14">
        <f t="shared" si="5"/>
        <v>6.194349033807625</v>
      </c>
    </row>
    <row r="11" spans="2:15" x14ac:dyDescent="0.35">
      <c r="B11" s="47">
        <v>8</v>
      </c>
      <c r="C11" s="48">
        <f t="shared" si="0"/>
        <v>45015</v>
      </c>
      <c r="D11" s="12">
        <v>345966.97</v>
      </c>
      <c r="E11" s="14">
        <f t="shared" si="1"/>
        <v>0.24245815155859707</v>
      </c>
      <c r="G11" s="47">
        <v>8</v>
      </c>
      <c r="H11" s="48">
        <f t="shared" si="2"/>
        <v>45015</v>
      </c>
      <c r="I11" s="12">
        <v>31815.799999999959</v>
      </c>
      <c r="J11" s="14">
        <f t="shared" si="3"/>
        <v>0.28704223973294352</v>
      </c>
      <c r="L11" s="47">
        <v>8</v>
      </c>
      <c r="M11" s="48">
        <f t="shared" si="4"/>
        <v>45015</v>
      </c>
      <c r="N11" s="12">
        <v>-11.965495438533228</v>
      </c>
      <c r="O11" s="14">
        <f t="shared" si="5"/>
        <v>-0.70909621522659583</v>
      </c>
    </row>
    <row r="12" spans="2:15" x14ac:dyDescent="0.35">
      <c r="B12" s="47">
        <v>9</v>
      </c>
      <c r="C12" s="48">
        <f t="shared" si="0"/>
        <v>45380</v>
      </c>
      <c r="D12" s="12">
        <v>437927.77</v>
      </c>
      <c r="E12" s="14">
        <f t="shared" si="1"/>
        <v>0.26580803363974326</v>
      </c>
      <c r="G12" s="47">
        <v>9</v>
      </c>
      <c r="H12" s="48">
        <f t="shared" si="2"/>
        <v>45380</v>
      </c>
      <c r="I12" s="12">
        <v>57824</v>
      </c>
      <c r="J12" s="14">
        <f t="shared" si="3"/>
        <v>0.81746176428064277</v>
      </c>
      <c r="L12" s="47">
        <v>9</v>
      </c>
      <c r="M12" s="48">
        <f t="shared" si="4"/>
        <v>45380</v>
      </c>
      <c r="N12" s="12">
        <v>81.279898907843673</v>
      </c>
      <c r="O12" s="14">
        <f t="shared" si="5"/>
        <v>-7.7928569548481015</v>
      </c>
    </row>
    <row r="13" spans="2:15" x14ac:dyDescent="0.35">
      <c r="B13" s="47">
        <v>10</v>
      </c>
      <c r="C13" s="48">
        <f t="shared" si="0"/>
        <v>45745</v>
      </c>
      <c r="D13" s="12">
        <v>439695</v>
      </c>
      <c r="E13" s="14">
        <f t="shared" si="1"/>
        <v>4.0354371680972889E-3</v>
      </c>
      <c r="G13" s="47">
        <v>10</v>
      </c>
      <c r="H13" s="48">
        <f t="shared" si="2"/>
        <v>45745</v>
      </c>
      <c r="I13" s="12">
        <v>55216</v>
      </c>
      <c r="J13" s="14">
        <f t="shared" si="3"/>
        <v>-4.510237963475372E-2</v>
      </c>
      <c r="L13" s="47">
        <v>10</v>
      </c>
      <c r="M13" s="48">
        <f t="shared" si="4"/>
        <v>45745</v>
      </c>
      <c r="N13" s="12">
        <v>44.481569010947219</v>
      </c>
      <c r="O13" s="14">
        <f t="shared" si="5"/>
        <v>-0.45273592107464278</v>
      </c>
    </row>
    <row r="14" spans="2:15" x14ac:dyDescent="0.35">
      <c r="B14" s="49">
        <v>11</v>
      </c>
      <c r="C14" s="50">
        <f t="shared" si="0"/>
        <v>46110</v>
      </c>
      <c r="D14" s="51">
        <f>FORECAST(B14,$D$4:$D$13,$B$4:$B$13)</f>
        <v>410508.18400000001</v>
      </c>
      <c r="E14" s="52">
        <f t="shared" si="1"/>
        <v>-6.6379685918648179E-2</v>
      </c>
      <c r="G14" s="49">
        <v>11</v>
      </c>
      <c r="H14" s="50">
        <f t="shared" si="2"/>
        <v>46110</v>
      </c>
      <c r="I14" s="51">
        <f>FORECAST(G14,$I$4:$I$13,$G$4:$G$13)</f>
        <v>46572.03933333332</v>
      </c>
      <c r="J14" s="52">
        <f t="shared" si="3"/>
        <v>-0.15654811407321578</v>
      </c>
      <c r="L14" s="49">
        <v>11</v>
      </c>
      <c r="M14" s="50">
        <f t="shared" si="4"/>
        <v>46110</v>
      </c>
      <c r="N14" s="51">
        <f>FORECAST(L14,$N$4:$N$13,$L$4:$L$13)</f>
        <v>18.636642255477042</v>
      </c>
      <c r="O14" s="52">
        <f t="shared" si="5"/>
        <v>-0.58102551978572436</v>
      </c>
    </row>
    <row r="15" spans="2:15" x14ac:dyDescent="0.35">
      <c r="B15" s="49">
        <v>12</v>
      </c>
      <c r="C15" s="50">
        <f t="shared" si="0"/>
        <v>46475</v>
      </c>
      <c r="D15" s="51">
        <f t="shared" ref="D15:D20" si="6">FORECAST(B15,$D$4:$D$13,$B$4:$B$13)</f>
        <v>427889.07072727272</v>
      </c>
      <c r="E15" s="52">
        <f t="shared" si="1"/>
        <v>4.2339927447762493E-2</v>
      </c>
      <c r="G15" s="49">
        <v>12</v>
      </c>
      <c r="H15" s="50">
        <f t="shared" si="2"/>
        <v>46475</v>
      </c>
      <c r="I15" s="51">
        <f t="shared" ref="I15:I20" si="7">FORECAST(G15,$I$4:$I$13,$G$4:$G$13)</f>
        <v>48785.931212121199</v>
      </c>
      <c r="J15" s="52">
        <f t="shared" si="3"/>
        <v>4.7536932255472841E-2</v>
      </c>
      <c r="L15" s="49">
        <v>12</v>
      </c>
      <c r="M15" s="50">
        <f t="shared" si="4"/>
        <v>46475</v>
      </c>
      <c r="N15" s="51">
        <f t="shared" ref="N15:N20" si="8">FORECAST(L15,$N$4:$N$13,$L$4:$L$13)</f>
        <v>20.414683487685949</v>
      </c>
      <c r="O15" s="52">
        <f t="shared" si="5"/>
        <v>9.5405664166052562E-2</v>
      </c>
    </row>
    <row r="16" spans="2:15" x14ac:dyDescent="0.35">
      <c r="B16" s="49">
        <v>13</v>
      </c>
      <c r="C16" s="50">
        <f t="shared" si="0"/>
        <v>46840</v>
      </c>
      <c r="D16" s="51">
        <f t="shared" si="6"/>
        <v>445269.95745454542</v>
      </c>
      <c r="E16" s="52">
        <f t="shared" si="1"/>
        <v>4.0620076361685964E-2</v>
      </c>
      <c r="G16" s="49">
        <v>13</v>
      </c>
      <c r="H16" s="50">
        <f t="shared" si="2"/>
        <v>46840</v>
      </c>
      <c r="I16" s="51">
        <f t="shared" si="7"/>
        <v>50999.823090909078</v>
      </c>
      <c r="J16" s="52">
        <f t="shared" si="3"/>
        <v>4.5379719599117241E-2</v>
      </c>
      <c r="L16" s="49">
        <v>13</v>
      </c>
      <c r="M16" s="50">
        <f t="shared" si="4"/>
        <v>46840</v>
      </c>
      <c r="N16" s="51">
        <f t="shared" si="8"/>
        <v>22.192724719894855</v>
      </c>
      <c r="O16" s="52">
        <f t="shared" si="5"/>
        <v>8.7096193937143962E-2</v>
      </c>
    </row>
    <row r="17" spans="2:15" x14ac:dyDescent="0.35">
      <c r="B17" s="49">
        <v>14</v>
      </c>
      <c r="C17" s="50">
        <f t="shared" si="0"/>
        <v>47205</v>
      </c>
      <c r="D17" s="51">
        <f t="shared" si="6"/>
        <v>462650.84418181819</v>
      </c>
      <c r="E17" s="52">
        <f t="shared" si="1"/>
        <v>3.9034492303575252E-2</v>
      </c>
      <c r="G17" s="49">
        <v>14</v>
      </c>
      <c r="H17" s="50">
        <f t="shared" si="2"/>
        <v>47205</v>
      </c>
      <c r="I17" s="51">
        <f t="shared" si="7"/>
        <v>53213.714969696957</v>
      </c>
      <c r="J17" s="52">
        <f t="shared" si="3"/>
        <v>4.3409795262260742E-2</v>
      </c>
      <c r="L17" s="49">
        <v>14</v>
      </c>
      <c r="M17" s="50">
        <f t="shared" si="4"/>
        <v>47205</v>
      </c>
      <c r="N17" s="51">
        <f t="shared" si="8"/>
        <v>23.970765952103768</v>
      </c>
      <c r="O17" s="52">
        <f t="shared" si="5"/>
        <v>8.0118203359453855E-2</v>
      </c>
    </row>
    <row r="18" spans="2:15" x14ac:dyDescent="0.35">
      <c r="B18" s="49">
        <v>15</v>
      </c>
      <c r="C18" s="50">
        <f t="shared" si="0"/>
        <v>47570</v>
      </c>
      <c r="D18" s="51">
        <f t="shared" si="6"/>
        <v>480031.7309090909</v>
      </c>
      <c r="E18" s="52">
        <f t="shared" si="1"/>
        <v>3.7568042825059988E-2</v>
      </c>
      <c r="G18" s="49">
        <v>15</v>
      </c>
      <c r="H18" s="50">
        <f t="shared" si="2"/>
        <v>47570</v>
      </c>
      <c r="I18" s="51">
        <f t="shared" si="7"/>
        <v>55427.606848484837</v>
      </c>
      <c r="J18" s="52">
        <f t="shared" si="3"/>
        <v>4.160378353679306E-2</v>
      </c>
      <c r="L18" s="49">
        <v>15</v>
      </c>
      <c r="M18" s="50">
        <f t="shared" si="4"/>
        <v>47570</v>
      </c>
      <c r="N18" s="51">
        <f t="shared" si="8"/>
        <v>25.748807184312675</v>
      </c>
      <c r="O18" s="52">
        <f t="shared" si="5"/>
        <v>7.4175403312586097E-2</v>
      </c>
    </row>
    <row r="19" spans="2:15" x14ac:dyDescent="0.35">
      <c r="B19" s="49">
        <v>16</v>
      </c>
      <c r="C19" s="50">
        <f t="shared" si="0"/>
        <v>47935</v>
      </c>
      <c r="D19" s="51">
        <f t="shared" si="6"/>
        <v>497412.6176363636</v>
      </c>
      <c r="E19" s="52">
        <f t="shared" si="1"/>
        <v>3.6207787127647828E-2</v>
      </c>
      <c r="G19" s="49">
        <v>16</v>
      </c>
      <c r="H19" s="50">
        <f t="shared" si="2"/>
        <v>47935</v>
      </c>
      <c r="I19" s="51">
        <f t="shared" si="7"/>
        <v>57641.498727272716</v>
      </c>
      <c r="J19" s="52">
        <f t="shared" si="3"/>
        <v>3.9942043408796257E-2</v>
      </c>
      <c r="L19" s="49">
        <v>16</v>
      </c>
      <c r="M19" s="50">
        <f t="shared" si="4"/>
        <v>47935</v>
      </c>
      <c r="N19" s="51">
        <f t="shared" si="8"/>
        <v>27.526848416521581</v>
      </c>
      <c r="O19" s="52">
        <f t="shared" si="5"/>
        <v>6.9053343694001068E-2</v>
      </c>
    </row>
    <row r="20" spans="2:15" x14ac:dyDescent="0.35">
      <c r="B20" s="49">
        <v>17</v>
      </c>
      <c r="C20" s="50">
        <f t="shared" si="0"/>
        <v>48300</v>
      </c>
      <c r="D20" s="51">
        <f t="shared" si="6"/>
        <v>514793.50436363637</v>
      </c>
      <c r="E20" s="52">
        <f t="shared" si="1"/>
        <v>3.4942593153073576E-2</v>
      </c>
      <c r="G20" s="49">
        <v>17</v>
      </c>
      <c r="H20" s="50">
        <f t="shared" si="2"/>
        <v>48300</v>
      </c>
      <c r="I20" s="51">
        <f t="shared" si="7"/>
        <v>59855.390606060595</v>
      </c>
      <c r="J20" s="52">
        <f t="shared" si="3"/>
        <v>3.84079513487805E-2</v>
      </c>
      <c r="L20" s="49">
        <v>17</v>
      </c>
      <c r="M20" s="50">
        <f t="shared" si="4"/>
        <v>48300</v>
      </c>
      <c r="N20" s="51">
        <f t="shared" si="8"/>
        <v>29.304889648730494</v>
      </c>
      <c r="O20" s="52">
        <f t="shared" si="5"/>
        <v>6.4592982287857481E-2</v>
      </c>
    </row>
  </sheetData>
  <mergeCells count="3">
    <mergeCell ref="B2:E2"/>
    <mergeCell ref="G2:J2"/>
    <mergeCell ref="L2:O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27"/>
  <sheetViews>
    <sheetView workbookViewId="0">
      <pane xSplit="1" ySplit="3" topLeftCell="B37" activePane="bottomRight" state="frozen"/>
      <selection pane="topRight" activeCell="B1" sqref="B1"/>
      <selection pane="bottomLeft" activeCell="A4" sqref="A4"/>
      <selection pane="bottomRight" activeCell="C7" sqref="C7"/>
    </sheetView>
  </sheetViews>
  <sheetFormatPr defaultRowHeight="14.5" x14ac:dyDescent="0.35"/>
  <cols>
    <col min="1" max="1" width="1.90625" style="8" customWidth="1"/>
    <col min="2" max="2" width="26.26953125" style="8" bestFit="1" customWidth="1"/>
    <col min="3" max="5" width="9.08984375" style="8" bestFit="1" customWidth="1"/>
    <col min="6" max="12" width="10.08984375" style="8" bestFit="1" customWidth="1"/>
    <col min="13" max="16384" width="8.7265625" style="8"/>
  </cols>
  <sheetData>
    <row r="1" spans="1:18" ht="21" x14ac:dyDescent="0.5">
      <c r="A1" s="8" t="s">
        <v>161</v>
      </c>
      <c r="B1" s="54" t="s">
        <v>162</v>
      </c>
    </row>
    <row r="3" spans="1:18" x14ac:dyDescent="0.35">
      <c r="B3" s="9" t="s">
        <v>54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M3" s="63">
        <f>L3+365</f>
        <v>46112</v>
      </c>
      <c r="N3" s="63">
        <f t="shared" ref="N3:Q3" si="0">M3+365</f>
        <v>46477</v>
      </c>
      <c r="O3" s="63">
        <f t="shared" si="0"/>
        <v>46842</v>
      </c>
      <c r="P3" s="63">
        <f t="shared" si="0"/>
        <v>47207</v>
      </c>
      <c r="Q3" s="63">
        <f t="shared" si="0"/>
        <v>47572</v>
      </c>
      <c r="R3" s="63"/>
    </row>
    <row r="5" spans="1:18" x14ac:dyDescent="0.35">
      <c r="A5" s="8" t="s">
        <v>56</v>
      </c>
      <c r="B5" s="17" t="s">
        <v>164</v>
      </c>
      <c r="C5" s="18"/>
      <c r="D5" s="18"/>
      <c r="E5" s="18"/>
      <c r="F5" s="18"/>
      <c r="G5" s="18"/>
      <c r="H5" s="18"/>
      <c r="I5" s="18"/>
      <c r="J5" s="18"/>
      <c r="K5" s="18"/>
      <c r="L5" s="18"/>
    </row>
    <row r="6" spans="1:18" x14ac:dyDescent="0.35">
      <c r="B6" s="11" t="s">
        <v>165</v>
      </c>
    </row>
    <row r="7" spans="1:18" x14ac:dyDescent="0.35">
      <c r="B7" s="8" t="str">
        <f>'Raw BS Data'!B28</f>
        <v>Inventories</v>
      </c>
      <c r="C7" s="67">
        <f>'Raw BS Data'!E28</f>
        <v>32656</v>
      </c>
      <c r="D7" s="67">
        <f>'Raw BS Data'!F28</f>
        <v>35085</v>
      </c>
      <c r="E7" s="67">
        <f>'Raw BS Data'!G28</f>
        <v>42138</v>
      </c>
      <c r="F7" s="67">
        <f>'Raw BS Data'!H28</f>
        <v>39014</v>
      </c>
      <c r="G7" s="67">
        <f>'Raw BS Data'!I28</f>
        <v>37457</v>
      </c>
      <c r="H7" s="67">
        <f>'Raw BS Data'!J28</f>
        <v>36089</v>
      </c>
      <c r="I7" s="67">
        <f>'Raw BS Data'!K28</f>
        <v>35240</v>
      </c>
      <c r="J7" s="67">
        <f>'Raw BS Data'!L28</f>
        <v>40755</v>
      </c>
      <c r="K7" s="67">
        <f>'Raw BS Data'!M28</f>
        <v>47788</v>
      </c>
      <c r="L7" s="67">
        <f>'Raw BS Data'!N28</f>
        <v>47269</v>
      </c>
    </row>
    <row r="8" spans="1:18" x14ac:dyDescent="0.35">
      <c r="B8" s="8" t="str">
        <f>'Raw BS Data'!B29</f>
        <v>Trade receivables +</v>
      </c>
      <c r="C8" s="67">
        <f>'Raw BS Data'!E29</f>
        <v>13571</v>
      </c>
      <c r="D8" s="67">
        <f>'Raw BS Data'!F29</f>
        <v>14076</v>
      </c>
      <c r="E8" s="67">
        <f>'Raw BS Data'!G29</f>
        <v>19893</v>
      </c>
      <c r="F8" s="67">
        <f>'Raw BS Data'!H29</f>
        <v>18996</v>
      </c>
      <c r="G8" s="67">
        <f>'Raw BS Data'!I29</f>
        <v>11173</v>
      </c>
      <c r="H8" s="67">
        <f>'Raw BS Data'!J29</f>
        <v>12679</v>
      </c>
      <c r="I8" s="67">
        <f>'Raw BS Data'!K29</f>
        <v>12442</v>
      </c>
      <c r="J8" s="67">
        <f>'Raw BS Data'!L29</f>
        <v>15738</v>
      </c>
      <c r="K8" s="67">
        <f>'Raw BS Data'!M29</f>
        <v>16952</v>
      </c>
      <c r="L8" s="67">
        <f>'Raw BS Data'!N29</f>
        <v>13248</v>
      </c>
    </row>
    <row r="9" spans="1:18" x14ac:dyDescent="0.35">
      <c r="B9" s="8" t="str">
        <f>'Raw BS Data'!B30</f>
        <v>Cash Equivalents</v>
      </c>
      <c r="C9" s="67">
        <f>'Raw BS Data'!E30</f>
        <v>30460</v>
      </c>
      <c r="D9" s="67">
        <f>'Raw BS Data'!F30</f>
        <v>36078</v>
      </c>
      <c r="E9" s="67">
        <f>'Raw BS Data'!G30</f>
        <v>34614</v>
      </c>
      <c r="F9" s="67">
        <f>'Raw BS Data'!H30</f>
        <v>32649</v>
      </c>
      <c r="G9" s="67">
        <f>'Raw BS Data'!I30</f>
        <v>33727</v>
      </c>
      <c r="H9" s="67">
        <f>'Raw BS Data'!J30</f>
        <v>46792</v>
      </c>
      <c r="I9" s="67">
        <f>'Raw BS Data'!K30</f>
        <v>40669</v>
      </c>
      <c r="J9" s="67">
        <f>'Raw BS Data'!L30</f>
        <v>37016</v>
      </c>
      <c r="K9" s="67">
        <f>'Raw BS Data'!M30</f>
        <v>45807</v>
      </c>
      <c r="L9" s="67">
        <f>'Raw BS Data'!N30</f>
        <v>40834</v>
      </c>
    </row>
    <row r="10" spans="1:18" x14ac:dyDescent="0.35">
      <c r="B10" s="8" t="str">
        <f>'Raw BS Data'!B31</f>
        <v>Loans n Advances</v>
      </c>
      <c r="C10" s="67">
        <f>'Raw BS Data'!E31</f>
        <v>2072</v>
      </c>
      <c r="D10" s="67">
        <f>'Raw BS Data'!F31</f>
        <v>1816</v>
      </c>
      <c r="E10" s="67">
        <f>'Raw BS Data'!G31</f>
        <v>4066</v>
      </c>
      <c r="F10" s="67">
        <f>'Raw BS Data'!H31</f>
        <v>3620</v>
      </c>
      <c r="G10" s="67">
        <f>'Raw BS Data'!I31</f>
        <v>3353</v>
      </c>
      <c r="H10" s="67">
        <f>'Raw BS Data'!J31</f>
        <v>4520</v>
      </c>
      <c r="I10" s="67">
        <f>'Raw BS Data'!K31</f>
        <v>4583</v>
      </c>
      <c r="J10" s="67">
        <f>'Raw BS Data'!L31</f>
        <v>-4029</v>
      </c>
      <c r="K10" s="67">
        <f>'Raw BS Data'!M31</f>
        <v>-1743</v>
      </c>
      <c r="L10" s="67">
        <f>'Raw BS Data'!N31</f>
        <v>7552</v>
      </c>
    </row>
    <row r="11" spans="1:18" x14ac:dyDescent="0.35">
      <c r="B11" s="8" t="str">
        <f>'Raw BS Data'!B32</f>
        <v>Other asset items</v>
      </c>
      <c r="C11" s="67">
        <f>'Raw BS Data'!E32</f>
        <v>27508</v>
      </c>
      <c r="D11" s="67">
        <f>'Raw BS Data'!F32</f>
        <v>35544</v>
      </c>
      <c r="E11" s="67">
        <f>'Raw BS Data'!G32</f>
        <v>44221</v>
      </c>
      <c r="F11" s="67">
        <f>'Raw BS Data'!H32</f>
        <v>52535</v>
      </c>
      <c r="G11" s="67">
        <f>'Raw BS Data'!I32</f>
        <v>55432</v>
      </c>
      <c r="H11" s="67">
        <f>'Raw BS Data'!J32</f>
        <v>57198</v>
      </c>
      <c r="I11" s="67">
        <f>'Raw BS Data'!K32</f>
        <v>57641</v>
      </c>
      <c r="J11" s="67">
        <f>'Raw BS Data'!L32</f>
        <v>72461</v>
      </c>
      <c r="K11" s="67">
        <f>'Raw BS Data'!M32</f>
        <v>80763</v>
      </c>
      <c r="L11" s="67">
        <f>'Raw BS Data'!N32</f>
        <v>50911</v>
      </c>
    </row>
    <row r="12" spans="1:18" x14ac:dyDescent="0.35">
      <c r="B12" s="58" t="s">
        <v>195</v>
      </c>
      <c r="C12" s="80">
        <f>SUM(C7:C11)</f>
        <v>106267</v>
      </c>
      <c r="D12" s="80">
        <f t="shared" ref="D12:L12" si="1">SUM(D7:D11)</f>
        <v>122599</v>
      </c>
      <c r="E12" s="80">
        <f t="shared" si="1"/>
        <v>144932</v>
      </c>
      <c r="F12" s="80">
        <f t="shared" si="1"/>
        <v>146814</v>
      </c>
      <c r="G12" s="80">
        <f t="shared" si="1"/>
        <v>141142</v>
      </c>
      <c r="H12" s="80">
        <f t="shared" si="1"/>
        <v>157278</v>
      </c>
      <c r="I12" s="80">
        <f t="shared" si="1"/>
        <v>150575</v>
      </c>
      <c r="J12" s="80">
        <f t="shared" si="1"/>
        <v>161941</v>
      </c>
      <c r="K12" s="80">
        <f t="shared" si="1"/>
        <v>189567</v>
      </c>
      <c r="L12" s="80">
        <f t="shared" si="1"/>
        <v>159814</v>
      </c>
    </row>
    <row r="13" spans="1:18" x14ac:dyDescent="0.35">
      <c r="C13" s="67"/>
      <c r="D13" s="67"/>
      <c r="E13" s="67"/>
      <c r="F13" s="67"/>
      <c r="G13" s="67"/>
      <c r="H13" s="67"/>
      <c r="I13" s="67"/>
      <c r="J13" s="67"/>
      <c r="K13" s="67"/>
      <c r="L13" s="67"/>
    </row>
    <row r="14" spans="1:18" x14ac:dyDescent="0.35">
      <c r="B14" s="58" t="s">
        <v>196</v>
      </c>
      <c r="C14" s="80">
        <f>C12-C9</f>
        <v>75807</v>
      </c>
      <c r="D14" s="80">
        <f t="shared" ref="D14:L14" si="2">D12-D9</f>
        <v>86521</v>
      </c>
      <c r="E14" s="80">
        <f t="shared" si="2"/>
        <v>110318</v>
      </c>
      <c r="F14" s="80">
        <f t="shared" si="2"/>
        <v>114165</v>
      </c>
      <c r="G14" s="80">
        <f t="shared" si="2"/>
        <v>107415</v>
      </c>
      <c r="H14" s="80">
        <f t="shared" si="2"/>
        <v>110486</v>
      </c>
      <c r="I14" s="80">
        <f t="shared" si="2"/>
        <v>109906</v>
      </c>
      <c r="J14" s="80">
        <f t="shared" si="2"/>
        <v>124925</v>
      </c>
      <c r="K14" s="80">
        <f t="shared" si="2"/>
        <v>143760</v>
      </c>
      <c r="L14" s="80">
        <f t="shared" si="2"/>
        <v>118980</v>
      </c>
    </row>
    <row r="15" spans="1:18" x14ac:dyDescent="0.35">
      <c r="C15" s="67"/>
      <c r="D15" s="67"/>
      <c r="E15" s="67"/>
      <c r="F15" s="67"/>
      <c r="G15" s="67"/>
      <c r="H15" s="67"/>
      <c r="I15" s="67"/>
      <c r="J15" s="67"/>
      <c r="K15" s="67"/>
      <c r="L15" s="67"/>
    </row>
    <row r="16" spans="1:18" x14ac:dyDescent="0.35">
      <c r="B16" s="11" t="s">
        <v>197</v>
      </c>
      <c r="C16" s="67"/>
      <c r="D16" s="67"/>
      <c r="E16" s="67"/>
      <c r="F16" s="67"/>
      <c r="G16" s="67"/>
      <c r="H16" s="67"/>
      <c r="I16" s="67"/>
      <c r="J16" s="67"/>
      <c r="K16" s="67"/>
      <c r="L16" s="67"/>
    </row>
    <row r="17" spans="1:12" x14ac:dyDescent="0.35">
      <c r="B17" s="8" t="str">
        <f>'Raw BS Data'!B8</f>
        <v>Trade Payables</v>
      </c>
      <c r="C17" s="67">
        <f>'Raw BS Data'!E8</f>
        <v>61562</v>
      </c>
      <c r="D17" s="67">
        <f>'Raw BS Data'!F8</f>
        <v>62533</v>
      </c>
      <c r="E17" s="67">
        <f>'Raw BS Data'!G8</f>
        <v>76940</v>
      </c>
      <c r="F17" s="67">
        <f>'Raw BS Data'!H8</f>
        <v>71691</v>
      </c>
      <c r="G17" s="67">
        <f>'Raw BS Data'!I8</f>
        <v>66398</v>
      </c>
      <c r="H17" s="67">
        <f>'Raw BS Data'!J8</f>
        <v>76040</v>
      </c>
      <c r="I17" s="67">
        <f>'Raw BS Data'!K8</f>
        <v>69750</v>
      </c>
      <c r="J17" s="67">
        <f>'Raw BS Data'!L8</f>
        <v>79252</v>
      </c>
      <c r="K17" s="67">
        <f>'Raw BS Data'!M8</f>
        <v>93978</v>
      </c>
      <c r="L17" s="67">
        <f>'Raw BS Data'!N8</f>
        <v>97368</v>
      </c>
    </row>
    <row r="18" spans="1:12" x14ac:dyDescent="0.35">
      <c r="B18" s="8" t="str">
        <f>'Raw BS Data'!B9</f>
        <v>Advance from Customers</v>
      </c>
      <c r="C18" s="67">
        <f>'Raw BS Data'!E9</f>
        <v>2165</v>
      </c>
      <c r="D18" s="67">
        <f>'Raw BS Data'!F9</f>
        <v>1711</v>
      </c>
      <c r="E18" s="67">
        <f>'Raw BS Data'!G9</f>
        <v>0</v>
      </c>
      <c r="F18" s="67">
        <f>'Raw BS Data'!H9</f>
        <v>0</v>
      </c>
      <c r="G18" s="67">
        <f>'Raw BS Data'!I9</f>
        <v>0</v>
      </c>
      <c r="H18" s="67">
        <f>'Raw BS Data'!J9</f>
        <v>0</v>
      </c>
      <c r="I18" s="67">
        <f>'Raw BS Data'!K9</f>
        <v>0</v>
      </c>
      <c r="J18" s="67">
        <f>'Raw BS Data'!L9</f>
        <v>0</v>
      </c>
      <c r="K18" s="67">
        <f>'Raw BS Data'!M9</f>
        <v>0</v>
      </c>
      <c r="L18" s="67">
        <f>'Raw BS Data'!N9</f>
        <v>0</v>
      </c>
    </row>
    <row r="19" spans="1:12" x14ac:dyDescent="0.35">
      <c r="B19" s="8" t="str">
        <f>'Raw BS Data'!B10</f>
        <v>Other liability items</v>
      </c>
      <c r="C19" s="67">
        <f>'Raw BS Data'!E10</f>
        <v>50712</v>
      </c>
      <c r="D19" s="67">
        <f>'Raw BS Data'!F10</f>
        <v>71218</v>
      </c>
      <c r="E19" s="67">
        <f>'Raw BS Data'!G10</f>
        <v>65349</v>
      </c>
      <c r="F19" s="67">
        <f>'Raw BS Data'!H10</f>
        <v>67135</v>
      </c>
      <c r="G19" s="67">
        <f>'Raw BS Data'!I10</f>
        <v>65101</v>
      </c>
      <c r="H19" s="67">
        <f>'Raw BS Data'!J10</f>
        <v>66579</v>
      </c>
      <c r="I19" s="67">
        <f>'Raw BS Data'!K10</f>
        <v>64030</v>
      </c>
      <c r="J19" s="67">
        <f>'Raw BS Data'!L10</f>
        <v>68710</v>
      </c>
      <c r="K19" s="67">
        <f>'Raw BS Data'!M10</f>
        <v>75185</v>
      </c>
      <c r="L19" s="67">
        <f>'Raw BS Data'!N10</f>
        <v>85311</v>
      </c>
    </row>
    <row r="20" spans="1:12" x14ac:dyDescent="0.35">
      <c r="B20" s="58" t="s">
        <v>198</v>
      </c>
      <c r="C20" s="80">
        <f>SUM(C17:C19)</f>
        <v>114439</v>
      </c>
      <c r="D20" s="80">
        <f t="shared" ref="D20:L20" si="3">SUM(D17:D19)</f>
        <v>135462</v>
      </c>
      <c r="E20" s="80">
        <f t="shared" si="3"/>
        <v>142289</v>
      </c>
      <c r="F20" s="80">
        <f t="shared" si="3"/>
        <v>138826</v>
      </c>
      <c r="G20" s="80">
        <f t="shared" si="3"/>
        <v>131499</v>
      </c>
      <c r="H20" s="80">
        <f t="shared" si="3"/>
        <v>142619</v>
      </c>
      <c r="I20" s="80">
        <f t="shared" si="3"/>
        <v>133780</v>
      </c>
      <c r="J20" s="80">
        <f t="shared" si="3"/>
        <v>147962</v>
      </c>
      <c r="K20" s="80">
        <f t="shared" si="3"/>
        <v>169163</v>
      </c>
      <c r="L20" s="80">
        <f t="shared" si="3"/>
        <v>182679</v>
      </c>
    </row>
    <row r="22" spans="1:12" x14ac:dyDescent="0.35">
      <c r="A22" s="8" t="s">
        <v>56</v>
      </c>
      <c r="B22" s="58" t="s">
        <v>199</v>
      </c>
      <c r="C22" s="83">
        <f>C14-C20</f>
        <v>-38632</v>
      </c>
      <c r="D22" s="83">
        <f t="shared" ref="D22:L22" si="4">D14-D20</f>
        <v>-48941</v>
      </c>
      <c r="E22" s="83">
        <f t="shared" si="4"/>
        <v>-31971</v>
      </c>
      <c r="F22" s="83">
        <f t="shared" si="4"/>
        <v>-24661</v>
      </c>
      <c r="G22" s="83">
        <f t="shared" si="4"/>
        <v>-24084</v>
      </c>
      <c r="H22" s="83">
        <f t="shared" si="4"/>
        <v>-32133</v>
      </c>
      <c r="I22" s="83">
        <f t="shared" si="4"/>
        <v>-23874</v>
      </c>
      <c r="J22" s="83">
        <f t="shared" si="4"/>
        <v>-23037</v>
      </c>
      <c r="K22" s="83">
        <f t="shared" si="4"/>
        <v>-25403</v>
      </c>
      <c r="L22" s="83">
        <f t="shared" si="4"/>
        <v>-63699</v>
      </c>
    </row>
    <row r="25" spans="1:12" x14ac:dyDescent="0.35">
      <c r="B25" s="11" t="s">
        <v>200</v>
      </c>
    </row>
    <row r="26" spans="1:12" x14ac:dyDescent="0.35">
      <c r="B26" s="11" t="str">
        <f>'Raw BS Data'!B13</f>
        <v>Fixed Assets -</v>
      </c>
      <c r="C26" s="81">
        <f>'Raw BS Data'!E13</f>
        <v>107232</v>
      </c>
      <c r="D26" s="81">
        <f>'Raw BS Data'!F13</f>
        <v>95944</v>
      </c>
      <c r="E26" s="81">
        <f>'Raw BS Data'!G13</f>
        <v>121414</v>
      </c>
      <c r="F26" s="81">
        <f>'Raw BS Data'!H13</f>
        <v>111234</v>
      </c>
      <c r="G26" s="81">
        <f>'Raw BS Data'!I13</f>
        <v>127107</v>
      </c>
      <c r="H26" s="81">
        <f>'Raw BS Data'!J13</f>
        <v>138708</v>
      </c>
      <c r="I26" s="81">
        <f>'Raw BS Data'!K13</f>
        <v>138855</v>
      </c>
      <c r="J26" s="81">
        <f>'Raw BS Data'!L13</f>
        <v>132080</v>
      </c>
      <c r="K26" s="81">
        <f>'Raw BS Data'!M13</f>
        <v>121285</v>
      </c>
      <c r="L26" s="81">
        <f>'Raw BS Data'!N13</f>
        <v>115697</v>
      </c>
    </row>
    <row r="27" spans="1:12" x14ac:dyDescent="0.35">
      <c r="B27" s="8" t="str">
        <f>'Raw BS Data'!B14</f>
        <v>Land</v>
      </c>
      <c r="C27" s="67">
        <f>'Raw BS Data'!E14</f>
        <v>7185</v>
      </c>
      <c r="D27" s="67">
        <f>'Raw BS Data'!F14</f>
        <v>6762</v>
      </c>
      <c r="E27" s="67">
        <f>'Raw BS Data'!G14</f>
        <v>7339</v>
      </c>
      <c r="F27" s="67">
        <f>'Raw BS Data'!H14</f>
        <v>7286</v>
      </c>
      <c r="G27" s="67">
        <f>'Raw BS Data'!I14</f>
        <v>7675</v>
      </c>
      <c r="H27" s="67">
        <f>'Raw BS Data'!J14</f>
        <v>7819</v>
      </c>
      <c r="I27" s="67">
        <f>'Raw BS Data'!K14</f>
        <v>7760</v>
      </c>
      <c r="J27" s="67">
        <f>'Raw BS Data'!L14</f>
        <v>8045</v>
      </c>
      <c r="K27" s="67">
        <f>'Raw BS Data'!M14</f>
        <v>7996</v>
      </c>
      <c r="L27" s="67">
        <f>'Raw BS Data'!N14</f>
        <v>7900</v>
      </c>
    </row>
    <row r="28" spans="1:12" x14ac:dyDescent="0.35">
      <c r="B28" s="8" t="str">
        <f>'Raw BS Data'!B15</f>
        <v>Building</v>
      </c>
      <c r="C28" s="67">
        <f>'Raw BS Data'!E15</f>
        <v>12343</v>
      </c>
      <c r="D28" s="67">
        <f>'Raw BS Data'!F15</f>
        <v>12164</v>
      </c>
      <c r="E28" s="67">
        <f>'Raw BS Data'!G15</f>
        <v>16552</v>
      </c>
      <c r="F28" s="67">
        <f>'Raw BS Data'!H15</f>
        <v>22938</v>
      </c>
      <c r="G28" s="67">
        <f>'Raw BS Data'!I15</f>
        <v>32665</v>
      </c>
      <c r="H28" s="67">
        <f>'Raw BS Data'!J15</f>
        <v>35537</v>
      </c>
      <c r="I28" s="67">
        <f>'Raw BS Data'!K15</f>
        <v>36466</v>
      </c>
      <c r="J28" s="67">
        <f>'Raw BS Data'!L15</f>
        <v>38674</v>
      </c>
      <c r="K28" s="67">
        <f>'Raw BS Data'!M15</f>
        <v>40583</v>
      </c>
      <c r="L28" s="67">
        <f>'Raw BS Data'!N15</f>
        <v>44662</v>
      </c>
    </row>
    <row r="29" spans="1:12" x14ac:dyDescent="0.35">
      <c r="B29" s="8" t="str">
        <f>'Raw BS Data'!B16</f>
        <v>Plant Machinery</v>
      </c>
      <c r="C29" s="67">
        <f>'Raw BS Data'!E16</f>
        <v>80063</v>
      </c>
      <c r="D29" s="67">
        <f>'Raw BS Data'!F16</f>
        <v>79976</v>
      </c>
      <c r="E29" s="67">
        <f>'Raw BS Data'!G16</f>
        <v>100226</v>
      </c>
      <c r="F29" s="67">
        <f>'Raw BS Data'!H16</f>
        <v>109415</v>
      </c>
      <c r="G29" s="67">
        <f>'Raw BS Data'!I16</f>
        <v>124158</v>
      </c>
      <c r="H29" s="67">
        <f>'Raw BS Data'!J16</f>
        <v>138868</v>
      </c>
      <c r="I29" s="67">
        <f>'Raw BS Data'!K16</f>
        <v>148585</v>
      </c>
      <c r="J29" s="67">
        <f>'Raw BS Data'!L16</f>
        <v>153672</v>
      </c>
      <c r="K29" s="67">
        <f>'Raw BS Data'!M16</f>
        <v>151877</v>
      </c>
      <c r="L29" s="67">
        <f>'Raw BS Data'!N16</f>
        <v>155939</v>
      </c>
    </row>
    <row r="30" spans="1:12" x14ac:dyDescent="0.35">
      <c r="B30" s="8" t="str">
        <f>'Raw BS Data'!B17</f>
        <v>Equipments</v>
      </c>
      <c r="C30" s="67">
        <f>'Raw BS Data'!E17</f>
        <v>498</v>
      </c>
      <c r="D30" s="67">
        <f>'Raw BS Data'!F17</f>
        <v>0</v>
      </c>
      <c r="E30" s="67">
        <f>'Raw BS Data'!G17</f>
        <v>0</v>
      </c>
      <c r="F30" s="67">
        <f>'Raw BS Data'!H17</f>
        <v>0</v>
      </c>
      <c r="G30" s="67">
        <f>'Raw BS Data'!I17</f>
        <v>0</v>
      </c>
      <c r="H30" s="67">
        <f>'Raw BS Data'!J17</f>
        <v>0</v>
      </c>
      <c r="I30" s="67">
        <f>'Raw BS Data'!K17</f>
        <v>0</v>
      </c>
      <c r="J30" s="67">
        <f>'Raw BS Data'!L17</f>
        <v>0</v>
      </c>
      <c r="K30" s="67">
        <f>'Raw BS Data'!M17</f>
        <v>0</v>
      </c>
      <c r="L30" s="67">
        <f>'Raw BS Data'!N17</f>
        <v>0</v>
      </c>
    </row>
    <row r="31" spans="1:12" x14ac:dyDescent="0.35">
      <c r="B31" s="8" t="str">
        <f>'Raw BS Data'!B18</f>
        <v>Computers</v>
      </c>
      <c r="C31" s="67">
        <f>'Raw BS Data'!E18</f>
        <v>1634</v>
      </c>
      <c r="D31" s="67">
        <f>'Raw BS Data'!F18</f>
        <v>1767</v>
      </c>
      <c r="E31" s="67">
        <f>'Raw BS Data'!G18</f>
        <v>1943</v>
      </c>
      <c r="F31" s="67">
        <f>'Raw BS Data'!H18</f>
        <v>2335</v>
      </c>
      <c r="G31" s="67">
        <f>'Raw BS Data'!I18</f>
        <v>3054</v>
      </c>
      <c r="H31" s="67">
        <f>'Raw BS Data'!J18</f>
        <v>3172</v>
      </c>
      <c r="I31" s="67">
        <f>'Raw BS Data'!K18</f>
        <v>3383</v>
      </c>
      <c r="J31" s="67">
        <f>'Raw BS Data'!L18</f>
        <v>3499</v>
      </c>
      <c r="K31" s="67">
        <f>'Raw BS Data'!M18</f>
        <v>3667</v>
      </c>
      <c r="L31" s="67">
        <f>'Raw BS Data'!N18</f>
        <v>3879</v>
      </c>
    </row>
    <row r="32" spans="1:12" x14ac:dyDescent="0.35">
      <c r="B32" s="8" t="str">
        <f>'Raw BS Data'!B19</f>
        <v>Furniture n fittings</v>
      </c>
      <c r="C32" s="67">
        <f>'Raw BS Data'!E19</f>
        <v>1241</v>
      </c>
      <c r="D32" s="67">
        <f>'Raw BS Data'!F19</f>
        <v>1401</v>
      </c>
      <c r="E32" s="67">
        <f>'Raw BS Data'!G19</f>
        <v>1430</v>
      </c>
      <c r="F32" s="67">
        <f>'Raw BS Data'!H19</f>
        <v>1626</v>
      </c>
      <c r="G32" s="67">
        <f>'Raw BS Data'!I19</f>
        <v>1890</v>
      </c>
      <c r="H32" s="67">
        <f>'Raw BS Data'!J19</f>
        <v>1956</v>
      </c>
      <c r="I32" s="67">
        <f>'Raw BS Data'!K19</f>
        <v>1984</v>
      </c>
      <c r="J32" s="67">
        <f>'Raw BS Data'!L19</f>
        <v>2084</v>
      </c>
      <c r="K32" s="67">
        <f>'Raw BS Data'!M19</f>
        <v>2029</v>
      </c>
      <c r="L32" s="67">
        <f>'Raw BS Data'!N19</f>
        <v>1970</v>
      </c>
    </row>
    <row r="33" spans="1:12" x14ac:dyDescent="0.35">
      <c r="B33" s="8" t="str">
        <f>'Raw BS Data'!B20</f>
        <v>Vehicles</v>
      </c>
      <c r="C33" s="67">
        <f>'Raw BS Data'!E20</f>
        <v>280</v>
      </c>
      <c r="D33" s="67">
        <f>'Raw BS Data'!F20</f>
        <v>291</v>
      </c>
      <c r="E33" s="67">
        <f>'Raw BS Data'!G20</f>
        <v>353</v>
      </c>
      <c r="F33" s="67">
        <f>'Raw BS Data'!H20</f>
        <v>387</v>
      </c>
      <c r="G33" s="67">
        <f>'Raw BS Data'!I20</f>
        <v>601</v>
      </c>
      <c r="H33" s="67">
        <f>'Raw BS Data'!J20</f>
        <v>845</v>
      </c>
      <c r="I33" s="67">
        <f>'Raw BS Data'!K20</f>
        <v>725</v>
      </c>
      <c r="J33" s="67">
        <f>'Raw BS Data'!L20</f>
        <v>788</v>
      </c>
      <c r="K33" s="67">
        <f>'Raw BS Data'!M20</f>
        <v>956</v>
      </c>
      <c r="L33" s="67">
        <f>'Raw BS Data'!N20</f>
        <v>1151</v>
      </c>
    </row>
    <row r="34" spans="1:12" x14ac:dyDescent="0.35">
      <c r="B34" s="8" t="str">
        <f>'Raw BS Data'!B21</f>
        <v>Intangible Assets</v>
      </c>
      <c r="C34" s="67">
        <f>'Raw BS Data'!E21</f>
        <v>58951</v>
      </c>
      <c r="D34" s="67">
        <f>'Raw BS Data'!F21</f>
        <v>54932</v>
      </c>
      <c r="E34" s="67">
        <f>'Raw BS Data'!G21</f>
        <v>77870</v>
      </c>
      <c r="F34" s="67">
        <f>'Raw BS Data'!H21</f>
        <v>80480</v>
      </c>
      <c r="G34" s="67">
        <f>'Raw BS Data'!I21</f>
        <v>91157</v>
      </c>
      <c r="H34" s="67">
        <f>'Raw BS Data'!J21</f>
        <v>114809</v>
      </c>
      <c r="I34" s="67">
        <f>'Raw BS Data'!K21</f>
        <v>114323</v>
      </c>
      <c r="J34" s="67">
        <f>'Raw BS Data'!L21</f>
        <v>112538</v>
      </c>
      <c r="K34" s="67">
        <f>'Raw BS Data'!M21</f>
        <v>116714</v>
      </c>
      <c r="L34" s="67">
        <f>'Raw BS Data'!N21</f>
        <v>93455</v>
      </c>
    </row>
    <row r="35" spans="1:12" x14ac:dyDescent="0.35">
      <c r="B35" s="8" t="str">
        <f>'Raw BS Data'!B22</f>
        <v>Other fixed assets</v>
      </c>
      <c r="C35" s="67">
        <f>'Raw BS Data'!E22</f>
        <v>6746</v>
      </c>
      <c r="D35" s="67">
        <f>'Raw BS Data'!F22</f>
        <v>6219</v>
      </c>
      <c r="E35" s="67">
        <f>'Raw BS Data'!G22</f>
        <v>7497</v>
      </c>
      <c r="F35" s="67">
        <f>'Raw BS Data'!H22</f>
        <v>8049</v>
      </c>
      <c r="G35" s="67">
        <f>'Raw BS Data'!I22</f>
        <v>9380</v>
      </c>
      <c r="H35" s="67">
        <f>'Raw BS Data'!J22</f>
        <v>10686</v>
      </c>
      <c r="I35" s="67">
        <f>'Raw BS Data'!K22</f>
        <v>10870</v>
      </c>
      <c r="J35" s="67">
        <f>'Raw BS Data'!L22</f>
        <v>11841</v>
      </c>
      <c r="K35" s="67">
        <f>'Raw BS Data'!M22</f>
        <v>10657</v>
      </c>
      <c r="L35" s="67">
        <f>'Raw BS Data'!N22</f>
        <v>11044</v>
      </c>
    </row>
    <row r="36" spans="1:12" x14ac:dyDescent="0.35">
      <c r="B36" s="71" t="str">
        <f>'Raw BS Data'!B23</f>
        <v>Gross Block</v>
      </c>
      <c r="C36" s="84">
        <f>'Raw BS Data'!E23</f>
        <v>168941</v>
      </c>
      <c r="D36" s="84">
        <f>'Raw BS Data'!F23</f>
        <v>163512</v>
      </c>
      <c r="E36" s="84">
        <f>'Raw BS Data'!G23</f>
        <v>213209</v>
      </c>
      <c r="F36" s="84">
        <f>'Raw BS Data'!H23</f>
        <v>232517</v>
      </c>
      <c r="G36" s="84">
        <f>'Raw BS Data'!I23</f>
        <v>270579</v>
      </c>
      <c r="H36" s="84">
        <f>'Raw BS Data'!J23</f>
        <v>313692</v>
      </c>
      <c r="I36" s="84">
        <f>'Raw BS Data'!K23</f>
        <v>324096</v>
      </c>
      <c r="J36" s="84">
        <f>'Raw BS Data'!L23</f>
        <v>331141</v>
      </c>
      <c r="K36" s="84">
        <f>'Raw BS Data'!M23</f>
        <v>334479</v>
      </c>
      <c r="L36" s="84">
        <f>'Raw BS Data'!N23</f>
        <v>320000</v>
      </c>
    </row>
    <row r="37" spans="1:12" x14ac:dyDescent="0.35">
      <c r="B37" s="8" t="str">
        <f>'Raw BS Data'!B24</f>
        <v>Accumulated Depreciation</v>
      </c>
      <c r="C37" s="67">
        <f>-'Raw BS Data'!E24</f>
        <v>-61709</v>
      </c>
      <c r="D37" s="67">
        <f>-'Raw BS Data'!F24</f>
        <v>-67568</v>
      </c>
      <c r="E37" s="67">
        <f>-'Raw BS Data'!G24</f>
        <v>-91795</v>
      </c>
      <c r="F37" s="67">
        <f>-'Raw BS Data'!H24</f>
        <v>-121283</v>
      </c>
      <c r="G37" s="67">
        <f>-'Raw BS Data'!I24</f>
        <v>-143471</v>
      </c>
      <c r="H37" s="67">
        <f>-'Raw BS Data'!J24</f>
        <v>-174985</v>
      </c>
      <c r="I37" s="67">
        <f>-'Raw BS Data'!K24</f>
        <v>-185241</v>
      </c>
      <c r="J37" s="67">
        <f>-'Raw BS Data'!L24</f>
        <v>-199062</v>
      </c>
      <c r="K37" s="67">
        <f>-'Raw BS Data'!M24</f>
        <v>-213194</v>
      </c>
      <c r="L37" s="67">
        <f>-'Raw BS Data'!N24</f>
        <v>-204303</v>
      </c>
    </row>
    <row r="38" spans="1:12" ht="15" thickBot="1" x14ac:dyDescent="0.4">
      <c r="B38" s="57" t="s">
        <v>201</v>
      </c>
      <c r="C38" s="82">
        <f>SUM(C36:C37)</f>
        <v>107232</v>
      </c>
      <c r="D38" s="82">
        <f t="shared" ref="D38:L38" si="5">SUM(D36:D37)</f>
        <v>95944</v>
      </c>
      <c r="E38" s="82">
        <f t="shared" si="5"/>
        <v>121414</v>
      </c>
      <c r="F38" s="82">
        <f t="shared" si="5"/>
        <v>111234</v>
      </c>
      <c r="G38" s="82">
        <f t="shared" si="5"/>
        <v>127108</v>
      </c>
      <c r="H38" s="82">
        <f t="shared" si="5"/>
        <v>138707</v>
      </c>
      <c r="I38" s="82">
        <f t="shared" si="5"/>
        <v>138855</v>
      </c>
      <c r="J38" s="82">
        <f t="shared" si="5"/>
        <v>132079</v>
      </c>
      <c r="K38" s="82">
        <f t="shared" si="5"/>
        <v>121285</v>
      </c>
      <c r="L38" s="82">
        <f t="shared" si="5"/>
        <v>115697</v>
      </c>
    </row>
    <row r="40" spans="1:12" ht="15" thickBot="1" x14ac:dyDescent="0.4">
      <c r="B40" s="57" t="s">
        <v>202</v>
      </c>
      <c r="C40" s="85">
        <f>C38+C22</f>
        <v>68600</v>
      </c>
      <c r="D40" s="85">
        <f t="shared" ref="D40:L40" si="6">D38+D22</f>
        <v>47003</v>
      </c>
      <c r="E40" s="85">
        <f t="shared" si="6"/>
        <v>89443</v>
      </c>
      <c r="F40" s="85">
        <f t="shared" si="6"/>
        <v>86573</v>
      </c>
      <c r="G40" s="85">
        <f t="shared" si="6"/>
        <v>103024</v>
      </c>
      <c r="H40" s="85">
        <f t="shared" si="6"/>
        <v>106574</v>
      </c>
      <c r="I40" s="85">
        <f t="shared" si="6"/>
        <v>114981</v>
      </c>
      <c r="J40" s="85">
        <f t="shared" si="6"/>
        <v>109042</v>
      </c>
      <c r="K40" s="85">
        <f t="shared" si="6"/>
        <v>95882</v>
      </c>
      <c r="L40" s="85">
        <f t="shared" si="6"/>
        <v>51998</v>
      </c>
    </row>
    <row r="41" spans="1:12" x14ac:dyDescent="0.35">
      <c r="B41" s="8" t="s">
        <v>203</v>
      </c>
      <c r="C41" s="67">
        <f>HistoricalFS!C16-HistoricalFS!C22</f>
        <v>21684.469999999972</v>
      </c>
      <c r="D41" s="67">
        <f>HistoricalFS!D16-HistoricalFS!D22</f>
        <v>11683.700000000044</v>
      </c>
      <c r="E41" s="67">
        <f>HistoricalFS!E16-HistoricalFS!E22</f>
        <v>9904.0899999999929</v>
      </c>
      <c r="F41" s="67">
        <f>HistoricalFS!F16-HistoricalFS!F22</f>
        <v>1073.7000000000226</v>
      </c>
      <c r="G41" s="67">
        <f>HistoricalFS!G16-HistoricalFS!G22</f>
        <v>-3438.360000000037</v>
      </c>
      <c r="H41" s="67">
        <f>HistoricalFS!H16-HistoricalFS!H22</f>
        <v>8740.7199999999903</v>
      </c>
      <c r="I41" s="67">
        <f>HistoricalFS!I16-HistoricalFS!I22</f>
        <v>-115.59999999998399</v>
      </c>
      <c r="J41" s="67">
        <f>HistoricalFS!J16-HistoricalFS!J22</f>
        <v>6955.4399999999587</v>
      </c>
      <c r="K41" s="67">
        <f>HistoricalFS!K16-HistoricalFS!K22</f>
        <v>30585</v>
      </c>
      <c r="L41" s="67">
        <f>HistoricalFS!L16-HistoricalFS!L22</f>
        <v>31960</v>
      </c>
    </row>
    <row r="42" spans="1:12" x14ac:dyDescent="0.35">
      <c r="B42" s="8" t="s">
        <v>204</v>
      </c>
      <c r="C42" s="86">
        <f>30%</f>
        <v>0.3</v>
      </c>
      <c r="D42" s="86">
        <f>30%</f>
        <v>0.3</v>
      </c>
      <c r="E42" s="86">
        <f>30%</f>
        <v>0.3</v>
      </c>
      <c r="F42" s="86">
        <f>30%</f>
        <v>0.3</v>
      </c>
      <c r="G42" s="86">
        <f>30%</f>
        <v>0.3</v>
      </c>
      <c r="H42" s="86">
        <f>30%</f>
        <v>0.3</v>
      </c>
      <c r="I42" s="86">
        <f>30%</f>
        <v>0.3</v>
      </c>
      <c r="J42" s="86">
        <f>30%</f>
        <v>0.3</v>
      </c>
      <c r="K42" s="86">
        <f>30%</f>
        <v>0.3</v>
      </c>
      <c r="L42" s="86">
        <f>30%</f>
        <v>0.3</v>
      </c>
    </row>
    <row r="43" spans="1:12" x14ac:dyDescent="0.35">
      <c r="B43" s="8" t="s">
        <v>205</v>
      </c>
      <c r="C43" s="67">
        <f>C41*(1-C42)</f>
        <v>15179.128999999979</v>
      </c>
      <c r="D43" s="67">
        <f t="shared" ref="D43:L43" si="7">D41*(1-D42)</f>
        <v>8178.5900000000302</v>
      </c>
      <c r="E43" s="67">
        <f t="shared" si="7"/>
        <v>6932.8629999999948</v>
      </c>
      <c r="F43" s="67">
        <f t="shared" si="7"/>
        <v>751.59000000001572</v>
      </c>
      <c r="G43" s="67">
        <f t="shared" si="7"/>
        <v>-2406.8520000000258</v>
      </c>
      <c r="H43" s="67">
        <f t="shared" si="7"/>
        <v>6118.5039999999926</v>
      </c>
      <c r="I43" s="67">
        <f t="shared" si="7"/>
        <v>-80.919999999988789</v>
      </c>
      <c r="J43" s="67">
        <f t="shared" si="7"/>
        <v>4868.8079999999709</v>
      </c>
      <c r="K43" s="67">
        <f t="shared" si="7"/>
        <v>21409.5</v>
      </c>
      <c r="L43" s="67">
        <f t="shared" si="7"/>
        <v>22372</v>
      </c>
    </row>
    <row r="44" spans="1:12" x14ac:dyDescent="0.35">
      <c r="C44" s="67"/>
      <c r="D44" s="67"/>
      <c r="E44" s="67"/>
      <c r="F44" s="67"/>
      <c r="G44" s="67"/>
      <c r="H44" s="67"/>
      <c r="I44" s="67"/>
      <c r="J44" s="67"/>
      <c r="K44" s="67"/>
      <c r="L44" s="67"/>
    </row>
    <row r="45" spans="1:12" ht="15" thickBot="1" x14ac:dyDescent="0.4">
      <c r="B45" s="57" t="s">
        <v>163</v>
      </c>
      <c r="C45" s="87">
        <f>C43/C40</f>
        <v>0.22127010204081601</v>
      </c>
      <c r="D45" s="87">
        <f t="shared" ref="D45:L45" si="8">D43/D40</f>
        <v>0.17400144671616768</v>
      </c>
      <c r="E45" s="87">
        <f t="shared" si="8"/>
        <v>7.7511521304070685E-2</v>
      </c>
      <c r="F45" s="87">
        <f t="shared" si="8"/>
        <v>8.6815750869210454E-3</v>
      </c>
      <c r="G45" s="87">
        <f t="shared" si="8"/>
        <v>-2.3362051560801615E-2</v>
      </c>
      <c r="H45" s="87">
        <f t="shared" si="8"/>
        <v>5.7410850676525162E-2</v>
      </c>
      <c r="I45" s="87">
        <f t="shared" si="8"/>
        <v>-7.0376844870012254E-4</v>
      </c>
      <c r="J45" s="87">
        <f t="shared" si="8"/>
        <v>4.4650758423359541E-2</v>
      </c>
      <c r="K45" s="87">
        <f t="shared" si="8"/>
        <v>0.22329008573037692</v>
      </c>
      <c r="L45" s="87">
        <f t="shared" si="8"/>
        <v>0.43024731720450787</v>
      </c>
    </row>
    <row r="46" spans="1:12" x14ac:dyDescent="0.35">
      <c r="C46" s="67"/>
      <c r="D46" s="67"/>
      <c r="E46" s="67"/>
      <c r="F46" s="67"/>
      <c r="G46" s="67"/>
      <c r="H46" s="67"/>
      <c r="I46" s="67"/>
      <c r="J46" s="67"/>
      <c r="K46" s="67"/>
      <c r="L46" s="67"/>
    </row>
    <row r="47" spans="1:12" x14ac:dyDescent="0.35">
      <c r="A47" s="8" t="s">
        <v>56</v>
      </c>
      <c r="B47" s="17" t="s">
        <v>206</v>
      </c>
      <c r="C47" s="18"/>
      <c r="D47" s="18"/>
      <c r="E47" s="18"/>
      <c r="F47" s="18"/>
      <c r="G47" s="18"/>
      <c r="H47" s="18"/>
      <c r="I47" s="18"/>
      <c r="J47" s="18"/>
      <c r="K47" s="18"/>
      <c r="L47" s="18"/>
    </row>
    <row r="48" spans="1:12" x14ac:dyDescent="0.35">
      <c r="C48" s="67"/>
      <c r="D48" s="67"/>
      <c r="E48" s="67"/>
      <c r="F48" s="67"/>
      <c r="G48" s="67"/>
      <c r="H48" s="67"/>
      <c r="I48" s="67"/>
      <c r="J48" s="67"/>
      <c r="K48" s="67"/>
      <c r="L48" s="67"/>
    </row>
    <row r="49" spans="2:12" x14ac:dyDescent="0.35">
      <c r="B49" s="8" t="s">
        <v>207</v>
      </c>
      <c r="C49" s="67">
        <f>(-'Raw Cash Flow Data'!E13+'Raw Cash Flow Data'!E14)</f>
        <v>31562</v>
      </c>
      <c r="D49" s="67">
        <f>(-'Raw Cash Flow Data'!F13+'Raw Cash Flow Data'!F14)</f>
        <v>16125</v>
      </c>
      <c r="E49" s="67">
        <f>(-'Raw Cash Flow Data'!G13+'Raw Cash Flow Data'!G14)</f>
        <v>35109</v>
      </c>
      <c r="F49" s="67">
        <f>(-'Raw Cash Flow Data'!H13+'Raw Cash Flow Data'!H14)</f>
        <v>35371</v>
      </c>
      <c r="G49" s="67">
        <f>(-'Raw Cash Flow Data'!I13+'Raw Cash Flow Data'!I14)</f>
        <v>29873</v>
      </c>
      <c r="H49" s="67">
        <f>(-'Raw Cash Flow Data'!J13+'Raw Cash Flow Data'!J14)</f>
        <v>20556</v>
      </c>
      <c r="I49" s="67">
        <f>(-'Raw Cash Flow Data'!K13+'Raw Cash Flow Data'!K14)</f>
        <v>15398</v>
      </c>
      <c r="J49" s="67">
        <f>(-'Raw Cash Flow Data'!L13+'Raw Cash Flow Data'!L14)</f>
        <v>19515</v>
      </c>
      <c r="K49" s="67">
        <f>(-'Raw Cash Flow Data'!M13+'Raw Cash Flow Data'!M14)</f>
        <v>31645</v>
      </c>
      <c r="L49" s="67">
        <f>(-'Raw Cash Flow Data'!N13+'Raw Cash Flow Data'!N14)</f>
        <v>39016</v>
      </c>
    </row>
    <row r="50" spans="2:12" x14ac:dyDescent="0.35">
      <c r="B50" s="8" t="s">
        <v>208</v>
      </c>
      <c r="C50" s="67">
        <v>0</v>
      </c>
      <c r="D50" s="67">
        <f>D22-C22</f>
        <v>-10309</v>
      </c>
      <c r="E50" s="67">
        <f t="shared" ref="E50:L50" si="9">E22-D22</f>
        <v>16970</v>
      </c>
      <c r="F50" s="67">
        <f t="shared" si="9"/>
        <v>7310</v>
      </c>
      <c r="G50" s="67">
        <f t="shared" si="9"/>
        <v>577</v>
      </c>
      <c r="H50" s="67">
        <f t="shared" si="9"/>
        <v>-8049</v>
      </c>
      <c r="I50" s="67">
        <f t="shared" si="9"/>
        <v>8259</v>
      </c>
      <c r="J50" s="67">
        <f t="shared" si="9"/>
        <v>837</v>
      </c>
      <c r="K50" s="67">
        <f t="shared" si="9"/>
        <v>-2366</v>
      </c>
      <c r="L50" s="67">
        <f t="shared" si="9"/>
        <v>-38296</v>
      </c>
    </row>
    <row r="51" spans="2:12" x14ac:dyDescent="0.35">
      <c r="C51" s="67"/>
      <c r="D51" s="67"/>
      <c r="E51" s="67"/>
      <c r="F51" s="67"/>
      <c r="G51" s="67"/>
      <c r="H51" s="67"/>
      <c r="I51" s="67"/>
      <c r="J51" s="67"/>
      <c r="K51" s="67"/>
      <c r="L51" s="67"/>
    </row>
    <row r="52" spans="2:12" x14ac:dyDescent="0.35">
      <c r="B52" s="8" t="s">
        <v>203</v>
      </c>
      <c r="C52" s="67">
        <f>HistoricalFS!C16-HistoricalFS!C22</f>
        <v>21684.469999999972</v>
      </c>
      <c r="D52" s="67">
        <f>HistoricalFS!D16-HistoricalFS!D22</f>
        <v>11683.700000000044</v>
      </c>
      <c r="E52" s="67">
        <f>HistoricalFS!E16-HistoricalFS!E22</f>
        <v>9904.0899999999929</v>
      </c>
      <c r="F52" s="67">
        <f>HistoricalFS!F16-HistoricalFS!F22</f>
        <v>1073.7000000000226</v>
      </c>
      <c r="G52" s="67">
        <f>HistoricalFS!G16-HistoricalFS!G22</f>
        <v>-3438.360000000037</v>
      </c>
      <c r="H52" s="67">
        <f>HistoricalFS!H16-HistoricalFS!H22</f>
        <v>8740.7199999999903</v>
      </c>
      <c r="I52" s="67">
        <f>HistoricalFS!I16-HistoricalFS!I22</f>
        <v>-115.59999999998399</v>
      </c>
      <c r="J52" s="67">
        <f>HistoricalFS!J16-HistoricalFS!J22</f>
        <v>6955.4399999999587</v>
      </c>
      <c r="K52" s="67">
        <f>HistoricalFS!K16-HistoricalFS!K22</f>
        <v>30585</v>
      </c>
      <c r="L52" s="67">
        <f>HistoricalFS!L16-HistoricalFS!L22</f>
        <v>31960</v>
      </c>
    </row>
    <row r="53" spans="2:12" x14ac:dyDescent="0.35">
      <c r="B53" s="8" t="s">
        <v>204</v>
      </c>
      <c r="C53" s="86">
        <f>30%</f>
        <v>0.3</v>
      </c>
      <c r="D53" s="86">
        <f>30%</f>
        <v>0.3</v>
      </c>
      <c r="E53" s="86">
        <f>30%</f>
        <v>0.3</v>
      </c>
      <c r="F53" s="86">
        <f>30%</f>
        <v>0.3</v>
      </c>
      <c r="G53" s="86">
        <f>30%</f>
        <v>0.3</v>
      </c>
      <c r="H53" s="86">
        <f>30%</f>
        <v>0.3</v>
      </c>
      <c r="I53" s="86">
        <f>30%</f>
        <v>0.3</v>
      </c>
      <c r="J53" s="86">
        <f>30%</f>
        <v>0.3</v>
      </c>
      <c r="K53" s="86">
        <f>30%</f>
        <v>0.3</v>
      </c>
      <c r="L53" s="86">
        <f>30%</f>
        <v>0.3</v>
      </c>
    </row>
    <row r="54" spans="2:12" x14ac:dyDescent="0.35">
      <c r="B54" s="8" t="s">
        <v>205</v>
      </c>
      <c r="C54" s="67">
        <f>C52*(1-C53)</f>
        <v>15179.128999999979</v>
      </c>
      <c r="D54" s="67">
        <f t="shared" ref="D54:L54" si="10">D52*(1-D53)</f>
        <v>8178.5900000000302</v>
      </c>
      <c r="E54" s="67">
        <f t="shared" si="10"/>
        <v>6932.8629999999948</v>
      </c>
      <c r="F54" s="67">
        <f t="shared" si="10"/>
        <v>751.59000000001572</v>
      </c>
      <c r="G54" s="67">
        <f t="shared" si="10"/>
        <v>-2406.8520000000258</v>
      </c>
      <c r="H54" s="67">
        <f t="shared" si="10"/>
        <v>6118.5039999999926</v>
      </c>
      <c r="I54" s="67">
        <f t="shared" si="10"/>
        <v>-80.919999999988789</v>
      </c>
      <c r="J54" s="67">
        <f t="shared" si="10"/>
        <v>4868.8079999999709</v>
      </c>
      <c r="K54" s="67">
        <f t="shared" si="10"/>
        <v>21409.5</v>
      </c>
      <c r="L54" s="67">
        <f t="shared" si="10"/>
        <v>22372</v>
      </c>
    </row>
    <row r="55" spans="2:12" x14ac:dyDescent="0.35">
      <c r="C55" s="67"/>
      <c r="D55" s="67"/>
      <c r="E55" s="67"/>
      <c r="F55" s="67"/>
      <c r="G55" s="67"/>
      <c r="H55" s="67"/>
      <c r="I55" s="67"/>
      <c r="J55" s="67"/>
      <c r="K55" s="67"/>
      <c r="L55" s="67"/>
    </row>
    <row r="56" spans="2:12" x14ac:dyDescent="0.35">
      <c r="B56" s="8" t="s">
        <v>209</v>
      </c>
      <c r="C56" s="67">
        <f>IF(HistoricalFS!C31&gt;0,'Intrinsic growth'!C49,0)</f>
        <v>31562</v>
      </c>
      <c r="D56" s="67">
        <f>IF(HistoricalFS!D31&gt;0,D49+D50,0)</f>
        <v>5816</v>
      </c>
      <c r="E56" s="67">
        <f>IF(HistoricalFS!E31&gt;0,E49+E50,0)</f>
        <v>52079</v>
      </c>
      <c r="F56" s="67">
        <f>IF(HistoricalFS!F31&gt;0,F49+F50,0)</f>
        <v>0</v>
      </c>
      <c r="G56" s="67">
        <f>IF(HistoricalFS!G31&gt;0,G49+G50,0)</f>
        <v>0</v>
      </c>
      <c r="H56" s="67">
        <f>IF(HistoricalFS!H31&gt;0,H49+H50,0)</f>
        <v>0</v>
      </c>
      <c r="I56" s="67">
        <f>IF(HistoricalFS!I31&gt;0,I49+I50,0)</f>
        <v>0</v>
      </c>
      <c r="J56" s="67">
        <f>IF(HistoricalFS!J31&gt;0,J49+J50,0)</f>
        <v>0</v>
      </c>
      <c r="K56" s="67">
        <f>IF(HistoricalFS!K31&gt;0,K49+K50,0)</f>
        <v>29279</v>
      </c>
      <c r="L56" s="67">
        <f>IF(HistoricalFS!L31&gt;0,L49+L50,0)</f>
        <v>720</v>
      </c>
    </row>
    <row r="57" spans="2:12" x14ac:dyDescent="0.35">
      <c r="B57" s="8" t="s">
        <v>210</v>
      </c>
      <c r="C57" s="14">
        <f>IF(C56/C54&lt;0,0,C56/C54)</f>
        <v>2.0793024421888795</v>
      </c>
      <c r="D57" s="14">
        <f t="shared" ref="D57:L57" si="11">IF(D56/D54&lt;0,0,D56/D54)</f>
        <v>0.71112502277287148</v>
      </c>
      <c r="E57" s="14">
        <f t="shared" si="11"/>
        <v>7.5119038123211199</v>
      </c>
      <c r="F57" s="14">
        <f t="shared" si="11"/>
        <v>0</v>
      </c>
      <c r="G57" s="14">
        <f t="shared" si="11"/>
        <v>0</v>
      </c>
      <c r="H57" s="14">
        <f t="shared" si="11"/>
        <v>0</v>
      </c>
      <c r="I57" s="14">
        <f t="shared" si="11"/>
        <v>0</v>
      </c>
      <c r="J57" s="14">
        <f t="shared" si="11"/>
        <v>0</v>
      </c>
      <c r="K57" s="14">
        <f t="shared" si="11"/>
        <v>1.36757047105257</v>
      </c>
      <c r="L57" s="14">
        <f t="shared" si="11"/>
        <v>3.2183086000357589E-2</v>
      </c>
    </row>
    <row r="58" spans="2:12" x14ac:dyDescent="0.35">
      <c r="C58" s="67"/>
      <c r="D58" s="67"/>
      <c r="E58" s="67"/>
      <c r="F58" s="67"/>
      <c r="G58" s="67"/>
      <c r="H58" s="67"/>
      <c r="I58" s="67"/>
      <c r="J58" s="67"/>
      <c r="K58" s="67"/>
      <c r="L58" s="67"/>
    </row>
    <row r="59" spans="2:12" x14ac:dyDescent="0.35">
      <c r="C59" s="67"/>
      <c r="D59" s="67"/>
      <c r="E59" s="67"/>
      <c r="F59" s="67"/>
      <c r="G59" s="67"/>
      <c r="H59" s="67"/>
      <c r="I59" s="67"/>
      <c r="J59" s="67"/>
      <c r="K59" s="67"/>
      <c r="L59" s="67"/>
    </row>
    <row r="60" spans="2:12" x14ac:dyDescent="0.35">
      <c r="C60" s="67"/>
      <c r="D60" s="67"/>
      <c r="E60" s="67"/>
      <c r="F60" s="67"/>
      <c r="G60" s="67"/>
      <c r="H60" s="67"/>
      <c r="I60" s="67"/>
      <c r="J60" s="67"/>
      <c r="K60" s="67"/>
      <c r="L60" s="67"/>
    </row>
    <row r="61" spans="2:12" x14ac:dyDescent="0.35">
      <c r="C61" s="67"/>
      <c r="D61" s="67"/>
      <c r="E61" s="67"/>
      <c r="F61" s="67"/>
      <c r="G61" s="67"/>
      <c r="H61" s="67"/>
      <c r="I61" s="67"/>
      <c r="J61" s="67"/>
      <c r="K61" s="67"/>
      <c r="L61" s="67"/>
    </row>
    <row r="62" spans="2:12" x14ac:dyDescent="0.35">
      <c r="C62" s="67"/>
      <c r="D62" s="67"/>
      <c r="E62" s="67"/>
      <c r="F62" s="67"/>
      <c r="G62" s="67"/>
      <c r="H62" s="67"/>
      <c r="I62" s="67"/>
      <c r="J62" s="67"/>
      <c r="K62" s="67"/>
      <c r="L62" s="67"/>
    </row>
    <row r="63" spans="2:12" x14ac:dyDescent="0.35">
      <c r="C63" s="67"/>
      <c r="D63" s="67"/>
      <c r="E63" s="67"/>
      <c r="F63" s="67"/>
      <c r="G63" s="67"/>
      <c r="H63" s="67"/>
      <c r="I63" s="67"/>
      <c r="J63" s="67"/>
      <c r="K63" s="67"/>
      <c r="L63" s="67"/>
    </row>
    <row r="64" spans="2:12" x14ac:dyDescent="0.35">
      <c r="C64" s="67"/>
      <c r="D64" s="67"/>
      <c r="E64" s="67"/>
      <c r="F64" s="67"/>
      <c r="G64" s="67"/>
      <c r="H64" s="67"/>
      <c r="I64" s="67"/>
      <c r="J64" s="67"/>
      <c r="K64" s="67"/>
      <c r="L64" s="67"/>
    </row>
    <row r="65" spans="3:12" x14ac:dyDescent="0.35">
      <c r="C65" s="67"/>
      <c r="D65" s="67"/>
      <c r="E65" s="67"/>
      <c r="F65" s="67"/>
      <c r="G65" s="67"/>
      <c r="H65" s="67"/>
      <c r="I65" s="67"/>
      <c r="J65" s="67"/>
      <c r="K65" s="67"/>
      <c r="L65" s="67"/>
    </row>
    <row r="66" spans="3:12" x14ac:dyDescent="0.35">
      <c r="C66" s="67"/>
      <c r="D66" s="67"/>
      <c r="E66" s="67"/>
      <c r="F66" s="67"/>
      <c r="G66" s="67"/>
      <c r="H66" s="67"/>
      <c r="I66" s="67"/>
      <c r="J66" s="67"/>
      <c r="K66" s="67"/>
      <c r="L66" s="67"/>
    </row>
    <row r="67" spans="3:12" x14ac:dyDescent="0.35">
      <c r="C67" s="67"/>
      <c r="D67" s="67"/>
      <c r="E67" s="67"/>
      <c r="F67" s="67"/>
      <c r="G67" s="67"/>
      <c r="H67" s="67"/>
      <c r="I67" s="67"/>
      <c r="J67" s="67"/>
      <c r="K67" s="67"/>
      <c r="L67" s="67"/>
    </row>
    <row r="68" spans="3:12" x14ac:dyDescent="0.35">
      <c r="C68" s="67"/>
      <c r="D68" s="67"/>
      <c r="E68" s="67"/>
      <c r="F68" s="67"/>
      <c r="G68" s="67"/>
      <c r="H68" s="67"/>
      <c r="I68" s="67"/>
      <c r="J68" s="67"/>
      <c r="K68" s="67"/>
      <c r="L68" s="67"/>
    </row>
    <row r="69" spans="3:12" x14ac:dyDescent="0.35">
      <c r="C69" s="67"/>
      <c r="D69" s="67"/>
      <c r="E69" s="67"/>
      <c r="F69" s="67"/>
      <c r="G69" s="67"/>
      <c r="H69" s="67"/>
      <c r="I69" s="67"/>
      <c r="J69" s="67"/>
      <c r="K69" s="67"/>
      <c r="L69" s="67"/>
    </row>
    <row r="70" spans="3:12" x14ac:dyDescent="0.35">
      <c r="C70" s="67"/>
      <c r="D70" s="67"/>
      <c r="E70" s="67"/>
      <c r="F70" s="67"/>
      <c r="G70" s="67"/>
      <c r="H70" s="67"/>
      <c r="I70" s="67"/>
      <c r="J70" s="67"/>
      <c r="K70" s="67"/>
      <c r="L70" s="67"/>
    </row>
    <row r="71" spans="3:12" x14ac:dyDescent="0.35">
      <c r="C71" s="67"/>
      <c r="D71" s="67"/>
      <c r="E71" s="67"/>
      <c r="F71" s="67"/>
      <c r="G71" s="67"/>
      <c r="H71" s="67"/>
      <c r="I71" s="67"/>
      <c r="J71" s="67"/>
      <c r="K71" s="67"/>
      <c r="L71" s="67"/>
    </row>
    <row r="72" spans="3:12" x14ac:dyDescent="0.35">
      <c r="C72" s="67"/>
      <c r="D72" s="67"/>
      <c r="E72" s="67"/>
      <c r="F72" s="67"/>
      <c r="G72" s="67"/>
      <c r="H72" s="67"/>
      <c r="I72" s="67"/>
      <c r="J72" s="67"/>
      <c r="K72" s="67"/>
      <c r="L72" s="67"/>
    </row>
    <row r="73" spans="3:12" x14ac:dyDescent="0.35">
      <c r="C73" s="67"/>
      <c r="D73" s="67"/>
      <c r="E73" s="67"/>
      <c r="F73" s="67"/>
      <c r="G73" s="67"/>
      <c r="H73" s="67"/>
      <c r="I73" s="67"/>
      <c r="J73" s="67"/>
      <c r="K73" s="67"/>
      <c r="L73" s="67"/>
    </row>
    <row r="74" spans="3:12" x14ac:dyDescent="0.35">
      <c r="C74" s="67"/>
      <c r="D74" s="67"/>
      <c r="E74" s="67"/>
      <c r="F74" s="67"/>
      <c r="G74" s="67"/>
      <c r="H74" s="67"/>
      <c r="I74" s="67"/>
      <c r="J74" s="67"/>
      <c r="K74" s="67"/>
      <c r="L74" s="67"/>
    </row>
    <row r="75" spans="3:12" x14ac:dyDescent="0.35">
      <c r="C75" s="67"/>
      <c r="D75" s="67"/>
      <c r="E75" s="67"/>
      <c r="F75" s="67"/>
      <c r="G75" s="67"/>
      <c r="H75" s="67"/>
      <c r="I75" s="67"/>
      <c r="J75" s="67"/>
      <c r="K75" s="67"/>
      <c r="L75" s="67"/>
    </row>
    <row r="76" spans="3:12" x14ac:dyDescent="0.35">
      <c r="C76" s="67"/>
      <c r="D76" s="67"/>
      <c r="E76" s="67"/>
      <c r="F76" s="67"/>
      <c r="G76" s="67"/>
      <c r="H76" s="67"/>
      <c r="I76" s="67"/>
      <c r="J76" s="67"/>
      <c r="K76" s="67"/>
      <c r="L76" s="67"/>
    </row>
    <row r="77" spans="3:12" x14ac:dyDescent="0.35">
      <c r="C77" s="67"/>
      <c r="D77" s="67"/>
      <c r="E77" s="67"/>
      <c r="F77" s="67"/>
      <c r="G77" s="67"/>
      <c r="H77" s="67"/>
      <c r="I77" s="67"/>
      <c r="J77" s="67"/>
      <c r="K77" s="67"/>
      <c r="L77" s="67"/>
    </row>
    <row r="78" spans="3:12" x14ac:dyDescent="0.35">
      <c r="C78" s="67"/>
      <c r="D78" s="67"/>
      <c r="E78" s="67"/>
      <c r="F78" s="67"/>
      <c r="G78" s="67"/>
      <c r="H78" s="67"/>
      <c r="I78" s="67"/>
      <c r="J78" s="67"/>
      <c r="K78" s="67"/>
      <c r="L78" s="67"/>
    </row>
    <row r="79" spans="3:12" x14ac:dyDescent="0.35">
      <c r="C79" s="67"/>
      <c r="D79" s="67"/>
      <c r="E79" s="67"/>
      <c r="F79" s="67"/>
      <c r="G79" s="67"/>
      <c r="H79" s="67"/>
      <c r="I79" s="67"/>
      <c r="J79" s="67"/>
      <c r="K79" s="67"/>
      <c r="L79" s="67"/>
    </row>
    <row r="80" spans="3:12" x14ac:dyDescent="0.35">
      <c r="C80" s="67"/>
      <c r="D80" s="67"/>
      <c r="E80" s="67"/>
      <c r="F80" s="67"/>
      <c r="G80" s="67"/>
      <c r="H80" s="67"/>
      <c r="I80" s="67"/>
      <c r="J80" s="67"/>
      <c r="K80" s="67"/>
      <c r="L80" s="67"/>
    </row>
    <row r="81" spans="3:12" x14ac:dyDescent="0.35">
      <c r="C81" s="67"/>
      <c r="D81" s="67"/>
      <c r="E81" s="67"/>
      <c r="F81" s="67"/>
      <c r="G81" s="67"/>
      <c r="H81" s="67"/>
      <c r="I81" s="67"/>
      <c r="J81" s="67"/>
      <c r="K81" s="67"/>
      <c r="L81" s="67"/>
    </row>
    <row r="82" spans="3:12" x14ac:dyDescent="0.35">
      <c r="C82" s="67"/>
      <c r="D82" s="67"/>
      <c r="E82" s="67"/>
      <c r="F82" s="67"/>
      <c r="G82" s="67"/>
      <c r="H82" s="67"/>
      <c r="I82" s="67"/>
      <c r="J82" s="67"/>
      <c r="K82" s="67"/>
      <c r="L82" s="67"/>
    </row>
    <row r="83" spans="3:12" x14ac:dyDescent="0.35">
      <c r="C83" s="67"/>
      <c r="D83" s="67"/>
      <c r="E83" s="67"/>
      <c r="F83" s="67"/>
      <c r="G83" s="67"/>
      <c r="H83" s="67"/>
      <c r="I83" s="67"/>
      <c r="J83" s="67"/>
      <c r="K83" s="67"/>
      <c r="L83" s="67"/>
    </row>
    <row r="84" spans="3:12" x14ac:dyDescent="0.35">
      <c r="C84" s="67"/>
      <c r="D84" s="67"/>
      <c r="E84" s="67"/>
      <c r="F84" s="67"/>
      <c r="G84" s="67"/>
      <c r="H84" s="67"/>
      <c r="I84" s="67"/>
      <c r="J84" s="67"/>
      <c r="K84" s="67"/>
      <c r="L84" s="67"/>
    </row>
    <row r="85" spans="3:12" x14ac:dyDescent="0.35">
      <c r="C85" s="67"/>
      <c r="D85" s="67"/>
      <c r="E85" s="67"/>
      <c r="F85" s="67"/>
      <c r="G85" s="67"/>
      <c r="H85" s="67"/>
      <c r="I85" s="67"/>
      <c r="J85" s="67"/>
      <c r="K85" s="67"/>
      <c r="L85" s="67"/>
    </row>
    <row r="86" spans="3:12" x14ac:dyDescent="0.35">
      <c r="C86" s="67"/>
      <c r="D86" s="67"/>
      <c r="E86" s="67"/>
      <c r="F86" s="67"/>
      <c r="G86" s="67"/>
      <c r="H86" s="67"/>
      <c r="I86" s="67"/>
      <c r="J86" s="67"/>
      <c r="K86" s="67"/>
      <c r="L86" s="67"/>
    </row>
    <row r="87" spans="3:12" x14ac:dyDescent="0.35">
      <c r="C87" s="67"/>
      <c r="D87" s="67"/>
      <c r="E87" s="67"/>
      <c r="F87" s="67"/>
      <c r="G87" s="67"/>
      <c r="H87" s="67"/>
      <c r="I87" s="67"/>
      <c r="J87" s="67"/>
      <c r="K87" s="67"/>
      <c r="L87" s="67"/>
    </row>
    <row r="88" spans="3:12" x14ac:dyDescent="0.35">
      <c r="C88" s="67"/>
      <c r="D88" s="67"/>
      <c r="E88" s="67"/>
      <c r="F88" s="67"/>
      <c r="G88" s="67"/>
      <c r="H88" s="67"/>
      <c r="I88" s="67"/>
      <c r="J88" s="67"/>
      <c r="K88" s="67"/>
      <c r="L88" s="67"/>
    </row>
    <row r="89" spans="3:12" x14ac:dyDescent="0.35">
      <c r="C89" s="67"/>
      <c r="D89" s="67"/>
      <c r="E89" s="67"/>
      <c r="F89" s="67"/>
      <c r="G89" s="67"/>
      <c r="H89" s="67"/>
      <c r="I89" s="67"/>
      <c r="J89" s="67"/>
      <c r="K89" s="67"/>
      <c r="L89" s="67"/>
    </row>
    <row r="90" spans="3:12" x14ac:dyDescent="0.35">
      <c r="C90" s="67"/>
      <c r="D90" s="67"/>
      <c r="E90" s="67"/>
      <c r="F90" s="67"/>
      <c r="G90" s="67"/>
      <c r="H90" s="67"/>
      <c r="I90" s="67"/>
      <c r="J90" s="67"/>
      <c r="K90" s="67"/>
      <c r="L90" s="67"/>
    </row>
    <row r="91" spans="3:12" x14ac:dyDescent="0.35">
      <c r="C91" s="67"/>
      <c r="D91" s="67"/>
      <c r="E91" s="67"/>
      <c r="F91" s="67"/>
      <c r="G91" s="67"/>
      <c r="H91" s="67"/>
      <c r="I91" s="67"/>
      <c r="J91" s="67"/>
      <c r="K91" s="67"/>
      <c r="L91" s="67"/>
    </row>
    <row r="92" spans="3:12" x14ac:dyDescent="0.35">
      <c r="C92" s="67"/>
      <c r="D92" s="67"/>
      <c r="E92" s="67"/>
      <c r="F92" s="67"/>
      <c r="G92" s="67"/>
      <c r="H92" s="67"/>
      <c r="I92" s="67"/>
      <c r="J92" s="67"/>
      <c r="K92" s="67"/>
      <c r="L92" s="67"/>
    </row>
    <row r="93" spans="3:12" x14ac:dyDescent="0.35">
      <c r="C93" s="67"/>
      <c r="D93" s="67"/>
      <c r="E93" s="67"/>
      <c r="F93" s="67"/>
      <c r="G93" s="67"/>
      <c r="H93" s="67"/>
      <c r="I93" s="67"/>
      <c r="J93" s="67"/>
      <c r="K93" s="67"/>
      <c r="L93" s="67"/>
    </row>
    <row r="94" spans="3:12" x14ac:dyDescent="0.35">
      <c r="C94" s="67"/>
      <c r="D94" s="67"/>
      <c r="E94" s="67"/>
      <c r="F94" s="67"/>
      <c r="G94" s="67"/>
      <c r="H94" s="67"/>
      <c r="I94" s="67"/>
      <c r="J94" s="67"/>
      <c r="K94" s="67"/>
      <c r="L94" s="67"/>
    </row>
    <row r="95" spans="3:12" x14ac:dyDescent="0.35">
      <c r="C95" s="67"/>
      <c r="D95" s="67"/>
      <c r="E95" s="67"/>
      <c r="F95" s="67"/>
      <c r="G95" s="67"/>
      <c r="H95" s="67"/>
      <c r="I95" s="67"/>
      <c r="J95" s="67"/>
      <c r="K95" s="67"/>
      <c r="L95" s="67"/>
    </row>
    <row r="96" spans="3:12" x14ac:dyDescent="0.35">
      <c r="C96" s="67"/>
      <c r="D96" s="67"/>
      <c r="E96" s="67"/>
      <c r="F96" s="67"/>
      <c r="G96" s="67"/>
      <c r="H96" s="67"/>
      <c r="I96" s="67"/>
      <c r="J96" s="67"/>
      <c r="K96" s="67"/>
      <c r="L96" s="67"/>
    </row>
    <row r="97" spans="3:12" x14ac:dyDescent="0.35">
      <c r="C97" s="67"/>
      <c r="D97" s="67"/>
      <c r="E97" s="67"/>
      <c r="F97" s="67"/>
      <c r="G97" s="67"/>
      <c r="H97" s="67"/>
      <c r="I97" s="67"/>
      <c r="J97" s="67"/>
      <c r="K97" s="67"/>
      <c r="L97" s="67"/>
    </row>
    <row r="98" spans="3:12" x14ac:dyDescent="0.35">
      <c r="C98" s="67"/>
      <c r="D98" s="67"/>
      <c r="E98" s="67"/>
      <c r="F98" s="67"/>
      <c r="G98" s="67"/>
      <c r="H98" s="67"/>
      <c r="I98" s="67"/>
      <c r="J98" s="67"/>
      <c r="K98" s="67"/>
      <c r="L98" s="67"/>
    </row>
    <row r="99" spans="3:12" x14ac:dyDescent="0.35">
      <c r="C99" s="67"/>
      <c r="D99" s="67"/>
      <c r="E99" s="67"/>
      <c r="F99" s="67"/>
      <c r="G99" s="67"/>
      <c r="H99" s="67"/>
      <c r="I99" s="67"/>
      <c r="J99" s="67"/>
      <c r="K99" s="67"/>
      <c r="L99" s="67"/>
    </row>
    <row r="100" spans="3:12" x14ac:dyDescent="0.35">
      <c r="C100" s="67"/>
      <c r="D100" s="67"/>
      <c r="E100" s="67"/>
      <c r="F100" s="67"/>
      <c r="G100" s="67"/>
      <c r="H100" s="67"/>
      <c r="I100" s="67"/>
      <c r="J100" s="67"/>
      <c r="K100" s="67"/>
      <c r="L100" s="67"/>
    </row>
    <row r="101" spans="3:12" x14ac:dyDescent="0.35">
      <c r="C101" s="67"/>
      <c r="D101" s="67"/>
      <c r="E101" s="67"/>
      <c r="F101" s="67"/>
      <c r="G101" s="67"/>
      <c r="H101" s="67"/>
      <c r="I101" s="67"/>
      <c r="J101" s="67"/>
      <c r="K101" s="67"/>
      <c r="L101" s="67"/>
    </row>
    <row r="102" spans="3:12" x14ac:dyDescent="0.35">
      <c r="C102" s="67"/>
      <c r="D102" s="67"/>
      <c r="E102" s="67"/>
      <c r="F102" s="67"/>
      <c r="G102" s="67"/>
      <c r="H102" s="67"/>
      <c r="I102" s="67"/>
      <c r="J102" s="67"/>
      <c r="K102" s="67"/>
      <c r="L102" s="67"/>
    </row>
    <row r="103" spans="3:12" x14ac:dyDescent="0.35">
      <c r="C103" s="67"/>
      <c r="D103" s="67"/>
      <c r="E103" s="67"/>
      <c r="F103" s="67"/>
      <c r="G103" s="67"/>
      <c r="H103" s="67"/>
      <c r="I103" s="67"/>
      <c r="J103" s="67"/>
      <c r="K103" s="67"/>
      <c r="L103" s="67"/>
    </row>
    <row r="104" spans="3:12" x14ac:dyDescent="0.35">
      <c r="C104" s="67"/>
      <c r="D104" s="67"/>
      <c r="E104" s="67"/>
      <c r="F104" s="67"/>
      <c r="G104" s="67"/>
      <c r="H104" s="67"/>
      <c r="I104" s="67"/>
      <c r="J104" s="67"/>
      <c r="K104" s="67"/>
      <c r="L104" s="67"/>
    </row>
    <row r="105" spans="3:12" x14ac:dyDescent="0.35">
      <c r="C105" s="67"/>
      <c r="D105" s="67"/>
      <c r="E105" s="67"/>
      <c r="F105" s="67"/>
      <c r="G105" s="67"/>
      <c r="H105" s="67"/>
      <c r="I105" s="67"/>
      <c r="J105" s="67"/>
      <c r="K105" s="67"/>
      <c r="L105" s="67"/>
    </row>
    <row r="106" spans="3:12" x14ac:dyDescent="0.35">
      <c r="C106" s="67"/>
      <c r="D106" s="67"/>
      <c r="E106" s="67"/>
      <c r="F106" s="67"/>
      <c r="G106" s="67"/>
      <c r="H106" s="67"/>
      <c r="I106" s="67"/>
      <c r="J106" s="67"/>
      <c r="K106" s="67"/>
      <c r="L106" s="67"/>
    </row>
    <row r="107" spans="3:12" x14ac:dyDescent="0.35">
      <c r="C107" s="67"/>
      <c r="D107" s="67"/>
      <c r="E107" s="67"/>
      <c r="F107" s="67"/>
      <c r="G107" s="67"/>
      <c r="H107" s="67"/>
      <c r="I107" s="67"/>
      <c r="J107" s="67"/>
      <c r="K107" s="67"/>
      <c r="L107" s="67"/>
    </row>
    <row r="108" spans="3:12" x14ac:dyDescent="0.35">
      <c r="C108" s="67"/>
      <c r="D108" s="67"/>
      <c r="E108" s="67"/>
      <c r="F108" s="67"/>
      <c r="G108" s="67"/>
      <c r="H108" s="67"/>
      <c r="I108" s="67"/>
      <c r="J108" s="67"/>
      <c r="K108" s="67"/>
      <c r="L108" s="67"/>
    </row>
    <row r="109" spans="3:12" x14ac:dyDescent="0.35">
      <c r="C109" s="67"/>
      <c r="D109" s="67"/>
      <c r="E109" s="67"/>
      <c r="F109" s="67"/>
      <c r="G109" s="67"/>
      <c r="H109" s="67"/>
      <c r="I109" s="67"/>
      <c r="J109" s="67"/>
      <c r="K109" s="67"/>
      <c r="L109" s="67"/>
    </row>
    <row r="110" spans="3:12" x14ac:dyDescent="0.35">
      <c r="C110" s="67"/>
      <c r="D110" s="67"/>
      <c r="E110" s="67"/>
      <c r="F110" s="67"/>
      <c r="G110" s="67"/>
      <c r="H110" s="67"/>
      <c r="I110" s="67"/>
      <c r="J110" s="67"/>
      <c r="K110" s="67"/>
      <c r="L110" s="67"/>
    </row>
    <row r="111" spans="3:12" x14ac:dyDescent="0.35">
      <c r="C111" s="67"/>
      <c r="D111" s="67"/>
      <c r="E111" s="67"/>
      <c r="F111" s="67"/>
      <c r="G111" s="67"/>
      <c r="H111" s="67"/>
      <c r="I111" s="67"/>
      <c r="J111" s="67"/>
      <c r="K111" s="67"/>
      <c r="L111" s="67"/>
    </row>
    <row r="112" spans="3:12" x14ac:dyDescent="0.35">
      <c r="C112" s="67"/>
      <c r="D112" s="67"/>
      <c r="E112" s="67"/>
      <c r="F112" s="67"/>
      <c r="G112" s="67"/>
      <c r="H112" s="67"/>
      <c r="I112" s="67"/>
      <c r="J112" s="67"/>
      <c r="K112" s="67"/>
      <c r="L112" s="67"/>
    </row>
    <row r="113" spans="3:12" x14ac:dyDescent="0.35">
      <c r="C113" s="67"/>
      <c r="D113" s="67"/>
      <c r="E113" s="67"/>
      <c r="F113" s="67"/>
      <c r="G113" s="67"/>
      <c r="H113" s="67"/>
      <c r="I113" s="67"/>
      <c r="J113" s="67"/>
      <c r="K113" s="67"/>
      <c r="L113" s="67"/>
    </row>
    <row r="114" spans="3:12" x14ac:dyDescent="0.35">
      <c r="C114" s="67"/>
      <c r="D114" s="67"/>
      <c r="E114" s="67"/>
      <c r="F114" s="67"/>
      <c r="G114" s="67"/>
      <c r="H114" s="67"/>
      <c r="I114" s="67"/>
      <c r="J114" s="67"/>
      <c r="K114" s="67"/>
      <c r="L114" s="67"/>
    </row>
    <row r="115" spans="3:12" x14ac:dyDescent="0.35">
      <c r="C115" s="67"/>
      <c r="D115" s="67"/>
      <c r="E115" s="67"/>
      <c r="F115" s="67"/>
      <c r="G115" s="67"/>
      <c r="H115" s="67"/>
      <c r="I115" s="67"/>
      <c r="J115" s="67"/>
      <c r="K115" s="67"/>
      <c r="L115" s="67"/>
    </row>
    <row r="116" spans="3:12" x14ac:dyDescent="0.35">
      <c r="C116" s="67"/>
      <c r="D116" s="67"/>
      <c r="E116" s="67"/>
      <c r="F116" s="67"/>
      <c r="G116" s="67"/>
      <c r="H116" s="67"/>
      <c r="I116" s="67"/>
      <c r="J116" s="67"/>
      <c r="K116" s="67"/>
      <c r="L116" s="67"/>
    </row>
    <row r="117" spans="3:12" x14ac:dyDescent="0.35">
      <c r="C117" s="67"/>
      <c r="D117" s="67"/>
      <c r="E117" s="67"/>
      <c r="F117" s="67"/>
      <c r="G117" s="67"/>
      <c r="H117" s="67"/>
      <c r="I117" s="67"/>
      <c r="J117" s="67"/>
      <c r="K117" s="67"/>
      <c r="L117" s="67"/>
    </row>
    <row r="118" spans="3:12" x14ac:dyDescent="0.35">
      <c r="C118" s="67"/>
      <c r="D118" s="67"/>
      <c r="E118" s="67"/>
      <c r="F118" s="67"/>
      <c r="G118" s="67"/>
      <c r="H118" s="67"/>
      <c r="I118" s="67"/>
      <c r="J118" s="67"/>
      <c r="K118" s="67"/>
      <c r="L118" s="67"/>
    </row>
    <row r="119" spans="3:12" x14ac:dyDescent="0.35">
      <c r="C119" s="67"/>
      <c r="D119" s="67"/>
      <c r="E119" s="67"/>
      <c r="F119" s="67"/>
      <c r="G119" s="67"/>
      <c r="H119" s="67"/>
      <c r="I119" s="67"/>
      <c r="J119" s="67"/>
      <c r="K119" s="67"/>
      <c r="L119" s="67"/>
    </row>
    <row r="120" spans="3:12" x14ac:dyDescent="0.35">
      <c r="C120" s="67"/>
      <c r="D120" s="67"/>
      <c r="E120" s="67"/>
      <c r="F120" s="67"/>
      <c r="G120" s="67"/>
      <c r="H120" s="67"/>
      <c r="I120" s="67"/>
      <c r="J120" s="67"/>
      <c r="K120" s="67"/>
      <c r="L120" s="67"/>
    </row>
    <row r="121" spans="3:12" x14ac:dyDescent="0.35">
      <c r="C121" s="67"/>
      <c r="D121" s="67"/>
      <c r="E121" s="67"/>
      <c r="F121" s="67"/>
      <c r="G121" s="67"/>
      <c r="H121" s="67"/>
      <c r="I121" s="67"/>
      <c r="J121" s="67"/>
      <c r="K121" s="67"/>
      <c r="L121" s="67"/>
    </row>
    <row r="122" spans="3:12" x14ac:dyDescent="0.35">
      <c r="C122" s="67"/>
      <c r="D122" s="67"/>
      <c r="E122" s="67"/>
      <c r="F122" s="67"/>
      <c r="G122" s="67"/>
      <c r="H122" s="67"/>
      <c r="I122" s="67"/>
      <c r="J122" s="67"/>
      <c r="K122" s="67"/>
      <c r="L122" s="67"/>
    </row>
    <row r="123" spans="3:12" x14ac:dyDescent="0.35">
      <c r="C123" s="67"/>
      <c r="D123" s="67"/>
      <c r="E123" s="67"/>
      <c r="F123" s="67"/>
      <c r="G123" s="67"/>
      <c r="H123" s="67"/>
      <c r="I123" s="67"/>
      <c r="J123" s="67"/>
      <c r="K123" s="67"/>
      <c r="L123" s="67"/>
    </row>
    <row r="124" spans="3:12" x14ac:dyDescent="0.35">
      <c r="C124" s="67"/>
      <c r="D124" s="67"/>
      <c r="E124" s="67"/>
      <c r="F124" s="67"/>
      <c r="G124" s="67"/>
      <c r="H124" s="67"/>
      <c r="I124" s="67"/>
      <c r="J124" s="67"/>
      <c r="K124" s="67"/>
      <c r="L124" s="67"/>
    </row>
    <row r="125" spans="3:12" x14ac:dyDescent="0.35">
      <c r="C125" s="67"/>
      <c r="D125" s="67"/>
      <c r="E125" s="67"/>
      <c r="F125" s="67"/>
      <c r="G125" s="67"/>
      <c r="H125" s="67"/>
      <c r="I125" s="67"/>
      <c r="J125" s="67"/>
      <c r="K125" s="67"/>
      <c r="L125" s="67"/>
    </row>
    <row r="126" spans="3:12" x14ac:dyDescent="0.35">
      <c r="C126" s="67"/>
      <c r="D126" s="67"/>
      <c r="E126" s="67"/>
      <c r="F126" s="67"/>
      <c r="G126" s="67"/>
      <c r="H126" s="67"/>
      <c r="I126" s="67"/>
      <c r="J126" s="67"/>
      <c r="K126" s="67"/>
      <c r="L126" s="67"/>
    </row>
    <row r="127" spans="3:12" x14ac:dyDescent="0.35">
      <c r="C127" s="67"/>
      <c r="D127" s="67"/>
      <c r="E127" s="67"/>
      <c r="F127" s="67"/>
      <c r="G127" s="67"/>
      <c r="H127" s="67"/>
      <c r="I127" s="67"/>
      <c r="J127" s="67"/>
      <c r="K127" s="67"/>
      <c r="L127" s="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5"/>
  <sheetViews>
    <sheetView workbookViewId="0">
      <selection activeCell="C4" sqref="C4"/>
    </sheetView>
  </sheetViews>
  <sheetFormatPr defaultRowHeight="14.5" x14ac:dyDescent="0.35"/>
  <cols>
    <col min="1" max="1" width="1.90625" style="8" customWidth="1"/>
    <col min="2" max="2" width="27.453125" style="8" customWidth="1"/>
    <col min="3" max="3" width="10.453125" style="8" bestFit="1" customWidth="1"/>
    <col min="4" max="7" width="9.08984375" style="8" bestFit="1" customWidth="1"/>
    <col min="8" max="11" width="8.7265625" style="8"/>
    <col min="12" max="17" width="9.08984375" style="8" bestFit="1" customWidth="1"/>
    <col min="18" max="16384" width="8.7265625" style="8"/>
  </cols>
  <sheetData>
    <row r="1" spans="1:17" ht="21" x14ac:dyDescent="0.5">
      <c r="A1" s="8" t="s">
        <v>161</v>
      </c>
      <c r="B1" s="54" t="s">
        <v>211</v>
      </c>
    </row>
    <row r="2" spans="1:17" x14ac:dyDescent="0.35">
      <c r="M2" s="79"/>
      <c r="N2" s="79"/>
      <c r="O2" s="79"/>
      <c r="P2" s="79"/>
      <c r="Q2" s="79"/>
    </row>
    <row r="3" spans="1:17" x14ac:dyDescent="0.35">
      <c r="B3" s="9" t="s">
        <v>212</v>
      </c>
      <c r="C3" s="10">
        <f>'Data Sheet'!B16</f>
        <v>42460</v>
      </c>
      <c r="D3" s="10">
        <f>'Data Sheet'!C16</f>
        <v>42825</v>
      </c>
      <c r="E3" s="10">
        <f>'Data Sheet'!D16</f>
        <v>43190</v>
      </c>
      <c r="F3" s="10">
        <f>'Data Sheet'!E16</f>
        <v>43555</v>
      </c>
      <c r="G3" s="10">
        <f>'Data Sheet'!F16</f>
        <v>43921</v>
      </c>
      <c r="H3" s="10">
        <f>'Data Sheet'!G16</f>
        <v>44286</v>
      </c>
      <c r="I3" s="10">
        <f>'Data Sheet'!H16</f>
        <v>44651</v>
      </c>
      <c r="J3" s="10">
        <f>'Data Sheet'!I16</f>
        <v>45016</v>
      </c>
      <c r="K3" s="10">
        <f>'Data Sheet'!J16</f>
        <v>45382</v>
      </c>
      <c r="L3" s="10">
        <f>'Data Sheet'!K16</f>
        <v>45747</v>
      </c>
      <c r="M3" s="10">
        <f>L3+365</f>
        <v>46112</v>
      </c>
      <c r="N3" s="10">
        <f t="shared" ref="N3:Q3" si="0">M3+365</f>
        <v>46477</v>
      </c>
      <c r="O3" s="10">
        <f t="shared" si="0"/>
        <v>46842</v>
      </c>
      <c r="P3" s="10">
        <f t="shared" si="0"/>
        <v>47207</v>
      </c>
      <c r="Q3" s="10">
        <f t="shared" si="0"/>
        <v>47572</v>
      </c>
    </row>
    <row r="4" spans="1:17" x14ac:dyDescent="0.35">
      <c r="B4" s="8" t="s">
        <v>12</v>
      </c>
      <c r="C4" s="67">
        <f>HistoricalFS!C5</f>
        <v>273045.59999999998</v>
      </c>
      <c r="D4" s="67">
        <f>HistoricalFS!D5</f>
        <v>269692.51</v>
      </c>
      <c r="E4" s="67">
        <f>HistoricalFS!E5</f>
        <v>291550.48</v>
      </c>
      <c r="F4" s="67">
        <f>HistoricalFS!F5</f>
        <v>301938.40000000002</v>
      </c>
      <c r="G4" s="67">
        <f>HistoricalFS!G5</f>
        <v>261067.97</v>
      </c>
      <c r="H4" s="67">
        <f>HistoricalFS!H5</f>
        <v>249794.75</v>
      </c>
      <c r="I4" s="67">
        <f>HistoricalFS!I5</f>
        <v>278453.62</v>
      </c>
      <c r="J4" s="67">
        <f>HistoricalFS!J5</f>
        <v>345966.97</v>
      </c>
      <c r="K4" s="67">
        <f>HistoricalFS!K5</f>
        <v>434016</v>
      </c>
      <c r="L4" s="67">
        <f>HistoricalFS!L5</f>
        <v>439695</v>
      </c>
      <c r="M4" s="79">
        <f t="array" ref="M4:Q4">TRANSPOSE(Forecasting!D14:D20)</f>
        <v>410508.18400000001</v>
      </c>
      <c r="N4" s="79">
        <v>427889.07072727272</v>
      </c>
      <c r="O4" s="79">
        <v>445269.95745454542</v>
      </c>
      <c r="P4" s="79">
        <v>462650.84418181819</v>
      </c>
      <c r="Q4" s="79">
        <v>480031.7309090909</v>
      </c>
    </row>
    <row r="5" spans="1:17" x14ac:dyDescent="0.35">
      <c r="B5" s="8" t="str">
        <f>'Intrinsic growth'!B41</f>
        <v>EBIT</v>
      </c>
      <c r="C5" s="67">
        <f>'Intrinsic growth'!C41</f>
        <v>21684.469999999972</v>
      </c>
      <c r="D5" s="67">
        <f>'Intrinsic growth'!D41</f>
        <v>11683.700000000044</v>
      </c>
      <c r="E5" s="67">
        <f>'Intrinsic growth'!E41</f>
        <v>9904.0899999999929</v>
      </c>
      <c r="F5" s="67">
        <f>'Intrinsic growth'!F41</f>
        <v>1073.7000000000226</v>
      </c>
      <c r="G5" s="67">
        <f>'Intrinsic growth'!G41</f>
        <v>-3438.360000000037</v>
      </c>
      <c r="H5" s="67">
        <f>'Intrinsic growth'!H41</f>
        <v>8740.7199999999903</v>
      </c>
      <c r="I5" s="67">
        <f>'Intrinsic growth'!I41</f>
        <v>-115.59999999998399</v>
      </c>
      <c r="J5" s="67">
        <f>'Intrinsic growth'!J41</f>
        <v>6955.4399999999587</v>
      </c>
      <c r="K5" s="67">
        <f>'Intrinsic growth'!K41</f>
        <v>30585</v>
      </c>
      <c r="L5" s="67">
        <f>'Intrinsic growth'!L41</f>
        <v>31960</v>
      </c>
      <c r="M5" s="90">
        <f>FORECAST(M4,C5:L5,C4:L4)</f>
        <v>24713.152077741885</v>
      </c>
      <c r="N5" s="90">
        <f t="shared" ref="N5:Q5" si="1">FORECAST(N4,D5:M5,D4:M4)</f>
        <v>27210.110698597331</v>
      </c>
      <c r="O5" s="90">
        <f t="shared" si="1"/>
        <v>30170.176803282891</v>
      </c>
      <c r="P5" s="90">
        <f t="shared" si="1"/>
        <v>33082.520425810362</v>
      </c>
      <c r="Q5" s="90">
        <f t="shared" si="1"/>
        <v>35885.664663880263</v>
      </c>
    </row>
    <row r="6" spans="1:17" x14ac:dyDescent="0.35">
      <c r="B6" s="8" t="str">
        <f>'Intrinsic growth'!B42</f>
        <v>Marginal Tax Rate</v>
      </c>
      <c r="C6" s="86">
        <f>'Intrinsic growth'!C42</f>
        <v>0.3</v>
      </c>
      <c r="D6" s="86">
        <f>'Intrinsic growth'!D42</f>
        <v>0.3</v>
      </c>
      <c r="E6" s="86">
        <f>'Intrinsic growth'!E42</f>
        <v>0.3</v>
      </c>
      <c r="F6" s="86">
        <f>'Intrinsic growth'!F42</f>
        <v>0.3</v>
      </c>
      <c r="G6" s="86">
        <f>'Intrinsic growth'!G42</f>
        <v>0.3</v>
      </c>
      <c r="H6" s="86">
        <f>'Intrinsic growth'!H42</f>
        <v>0.3</v>
      </c>
      <c r="I6" s="86">
        <f>'Intrinsic growth'!I42</f>
        <v>0.3</v>
      </c>
      <c r="J6" s="86">
        <f>'Intrinsic growth'!J42</f>
        <v>0.3</v>
      </c>
      <c r="K6" s="86">
        <f>'Intrinsic growth'!K42</f>
        <v>0.3</v>
      </c>
      <c r="L6" s="86">
        <f>'Intrinsic growth'!L42</f>
        <v>0.3</v>
      </c>
      <c r="M6" s="91">
        <v>0.3</v>
      </c>
      <c r="N6" s="91">
        <v>0.3</v>
      </c>
      <c r="O6" s="91">
        <v>0.3</v>
      </c>
      <c r="P6" s="91">
        <v>0.3</v>
      </c>
      <c r="Q6" s="91">
        <v>0.3</v>
      </c>
    </row>
    <row r="7" spans="1:17" x14ac:dyDescent="0.35">
      <c r="B7" s="20" t="str">
        <f>'Intrinsic growth'!B43</f>
        <v>NOPAT</v>
      </c>
      <c r="C7" s="88">
        <f>C5*(1-C6)</f>
        <v>15179.128999999979</v>
      </c>
      <c r="D7" s="88">
        <f t="shared" ref="D7:Q7" si="2">D5*(1-D6)</f>
        <v>8178.5900000000302</v>
      </c>
      <c r="E7" s="88">
        <f t="shared" si="2"/>
        <v>6932.8629999999948</v>
      </c>
      <c r="F7" s="88">
        <f t="shared" si="2"/>
        <v>751.59000000001572</v>
      </c>
      <c r="G7" s="88">
        <f t="shared" si="2"/>
        <v>-2406.8520000000258</v>
      </c>
      <c r="H7" s="88">
        <f t="shared" si="2"/>
        <v>6118.5039999999926</v>
      </c>
      <c r="I7" s="88">
        <f t="shared" si="2"/>
        <v>-80.919999999988789</v>
      </c>
      <c r="J7" s="88">
        <f t="shared" si="2"/>
        <v>4868.8079999999709</v>
      </c>
      <c r="K7" s="88">
        <f t="shared" si="2"/>
        <v>21409.5</v>
      </c>
      <c r="L7" s="88">
        <f t="shared" si="2"/>
        <v>22372</v>
      </c>
      <c r="M7" s="92">
        <f t="shared" si="2"/>
        <v>17299.206454419316</v>
      </c>
      <c r="N7" s="92">
        <f t="shared" si="2"/>
        <v>19047.077489018131</v>
      </c>
      <c r="O7" s="92">
        <f t="shared" si="2"/>
        <v>21119.123762298022</v>
      </c>
      <c r="P7" s="92">
        <f t="shared" si="2"/>
        <v>23157.764298067254</v>
      </c>
      <c r="Q7" s="92">
        <f t="shared" si="2"/>
        <v>25119.965264716182</v>
      </c>
    </row>
    <row r="8" spans="1:17" x14ac:dyDescent="0.35">
      <c r="B8" s="8" t="s">
        <v>213</v>
      </c>
      <c r="C8" s="67">
        <f>HistoricalFS!C22</f>
        <v>16710.78</v>
      </c>
      <c r="D8" s="67">
        <f>HistoricalFS!D22</f>
        <v>17904.990000000002</v>
      </c>
      <c r="E8" s="67">
        <f>HistoricalFS!E22</f>
        <v>21553.59</v>
      </c>
      <c r="F8" s="67">
        <f>HistoricalFS!F22</f>
        <v>23590.63</v>
      </c>
      <c r="G8" s="67">
        <f>HistoricalFS!G22</f>
        <v>21425.43</v>
      </c>
      <c r="H8" s="67">
        <f>HistoricalFS!H22</f>
        <v>23546.71</v>
      </c>
      <c r="I8" s="67">
        <f>HistoricalFS!I22</f>
        <v>24835.69</v>
      </c>
      <c r="J8" s="67">
        <f>HistoricalFS!J22</f>
        <v>24860.36</v>
      </c>
      <c r="K8" s="67">
        <f>HistoricalFS!K22</f>
        <v>27239</v>
      </c>
      <c r="L8" s="67">
        <f>HistoricalFS!L22</f>
        <v>23256</v>
      </c>
      <c r="M8" s="90">
        <f>FORECAST(M4,C8:L8,C4:L4)</f>
        <v>24896.821952922925</v>
      </c>
      <c r="N8" s="90">
        <f t="shared" ref="N8:Q8" si="3">FORECAST(N4,D8:M8,D4:M4)</f>
        <v>25277.296537188398</v>
      </c>
      <c r="O8" s="90">
        <f t="shared" si="3"/>
        <v>25445.090467559796</v>
      </c>
      <c r="P8" s="90">
        <f t="shared" si="3"/>
        <v>25649.711294582215</v>
      </c>
      <c r="Q8" s="90">
        <f t="shared" si="3"/>
        <v>25850.20638733434</v>
      </c>
    </row>
    <row r="9" spans="1:17" x14ac:dyDescent="0.35">
      <c r="B9" s="20" t="s">
        <v>214</v>
      </c>
      <c r="C9" s="88">
        <f>C7+C8</f>
        <v>31889.908999999978</v>
      </c>
      <c r="D9" s="88">
        <f t="shared" ref="D9:Q9" si="4">D7+D8</f>
        <v>26083.580000000031</v>
      </c>
      <c r="E9" s="88">
        <f t="shared" si="4"/>
        <v>28486.452999999994</v>
      </c>
      <c r="F9" s="88">
        <f t="shared" si="4"/>
        <v>24342.220000000016</v>
      </c>
      <c r="G9" s="88">
        <f t="shared" si="4"/>
        <v>19018.577999999976</v>
      </c>
      <c r="H9" s="88">
        <f t="shared" si="4"/>
        <v>29665.213999999993</v>
      </c>
      <c r="I9" s="88">
        <f t="shared" si="4"/>
        <v>24754.770000000011</v>
      </c>
      <c r="J9" s="88">
        <f t="shared" si="4"/>
        <v>29729.167999999972</v>
      </c>
      <c r="K9" s="88">
        <f t="shared" si="4"/>
        <v>48648.5</v>
      </c>
      <c r="L9" s="88">
        <f t="shared" si="4"/>
        <v>45628</v>
      </c>
      <c r="M9" s="92">
        <f t="shared" si="4"/>
        <v>42196.028407342237</v>
      </c>
      <c r="N9" s="92">
        <f t="shared" si="4"/>
        <v>44324.374026206526</v>
      </c>
      <c r="O9" s="92">
        <f t="shared" si="4"/>
        <v>46564.214229857818</v>
      </c>
      <c r="P9" s="92">
        <f t="shared" si="4"/>
        <v>48807.475592649469</v>
      </c>
      <c r="Q9" s="92">
        <f t="shared" si="4"/>
        <v>50970.171652050522</v>
      </c>
    </row>
    <row r="10" spans="1:17" ht="10" customHeight="1" x14ac:dyDescent="0.35">
      <c r="M10" s="79"/>
      <c r="N10" s="79"/>
      <c r="O10" s="79"/>
      <c r="P10" s="79"/>
      <c r="Q10" s="79"/>
    </row>
    <row r="11" spans="1:17" x14ac:dyDescent="0.35">
      <c r="B11" s="8" t="s">
        <v>207</v>
      </c>
      <c r="C11" s="67">
        <f>'Intrinsic growth'!C49</f>
        <v>31562</v>
      </c>
      <c r="D11" s="67">
        <f>'Intrinsic growth'!D49</f>
        <v>16125</v>
      </c>
      <c r="E11" s="67">
        <f>'Intrinsic growth'!E49</f>
        <v>35109</v>
      </c>
      <c r="F11" s="67">
        <f>'Intrinsic growth'!F49</f>
        <v>35371</v>
      </c>
      <c r="G11" s="67">
        <f>'Intrinsic growth'!G49</f>
        <v>29873</v>
      </c>
      <c r="H11" s="67">
        <f>'Intrinsic growth'!H49</f>
        <v>20556</v>
      </c>
      <c r="I11" s="67">
        <f>'Intrinsic growth'!I49</f>
        <v>15398</v>
      </c>
      <c r="J11" s="67">
        <f>'Intrinsic growth'!J49</f>
        <v>19515</v>
      </c>
      <c r="K11" s="67">
        <f>'Intrinsic growth'!K49</f>
        <v>31645</v>
      </c>
      <c r="L11" s="67">
        <f>'Intrinsic growth'!L49</f>
        <v>39016</v>
      </c>
      <c r="M11" s="90">
        <f>FORECAST(M4,C11:L11,C4:L4)</f>
        <v>32935.56467914494</v>
      </c>
      <c r="N11" s="90">
        <f t="shared" ref="N11:Q11" si="5">FORECAST(N4,D11:M11,D4:M4)</f>
        <v>34010.474793400295</v>
      </c>
      <c r="O11" s="90">
        <f t="shared" si="5"/>
        <v>34822.044114003191</v>
      </c>
      <c r="P11" s="90">
        <f t="shared" si="5"/>
        <v>35935.264020839066</v>
      </c>
      <c r="Q11" s="90">
        <f t="shared" si="5"/>
        <v>37262.507717255314</v>
      </c>
    </row>
    <row r="12" spans="1:17" x14ac:dyDescent="0.35">
      <c r="B12" s="8" t="s">
        <v>215</v>
      </c>
      <c r="C12" s="67">
        <f>'Intrinsic growth'!C50</f>
        <v>0</v>
      </c>
      <c r="D12" s="67">
        <f>'Intrinsic growth'!D50</f>
        <v>-10309</v>
      </c>
      <c r="E12" s="67">
        <f>'Intrinsic growth'!E50</f>
        <v>16970</v>
      </c>
      <c r="F12" s="67">
        <f>'Intrinsic growth'!F50</f>
        <v>7310</v>
      </c>
      <c r="G12" s="67">
        <f>'Intrinsic growth'!G50</f>
        <v>577</v>
      </c>
      <c r="H12" s="67">
        <f>'Intrinsic growth'!H50</f>
        <v>-8049</v>
      </c>
      <c r="I12" s="67">
        <f>'Intrinsic growth'!I50</f>
        <v>8259</v>
      </c>
      <c r="J12" s="67">
        <f>'Intrinsic growth'!J50</f>
        <v>837</v>
      </c>
      <c r="K12" s="67">
        <f>'Intrinsic growth'!K50</f>
        <v>-2366</v>
      </c>
      <c r="L12" s="67">
        <f>'Intrinsic growth'!L50</f>
        <v>-38296</v>
      </c>
      <c r="M12" s="90">
        <f>FORECAST(M5,C12:L12,C5:L5)</f>
        <v>-11863.804996677332</v>
      </c>
      <c r="N12" s="90">
        <f t="shared" ref="N12:Q12" si="6">FORECAST(N5,D12:M12,D5:M5)</f>
        <v>-15599.419243890625</v>
      </c>
      <c r="O12" s="90">
        <f t="shared" si="6"/>
        <v>-17390.357374849715</v>
      </c>
      <c r="P12" s="90">
        <f t="shared" si="6"/>
        <v>-20549.428407982698</v>
      </c>
      <c r="Q12" s="90">
        <f t="shared" si="6"/>
        <v>-22381.876984005045</v>
      </c>
    </row>
    <row r="13" spans="1:17" x14ac:dyDescent="0.35">
      <c r="M13" s="79"/>
      <c r="N13" s="79"/>
      <c r="O13" s="79"/>
      <c r="P13" s="79"/>
      <c r="Q13" s="79"/>
    </row>
    <row r="14" spans="1:17" ht="15" thickBot="1" x14ac:dyDescent="0.4">
      <c r="B14" s="57" t="s">
        <v>211</v>
      </c>
      <c r="C14" s="82">
        <f>C9-C11-C12</f>
        <v>327.90899999997782</v>
      </c>
      <c r="D14" s="82">
        <f t="shared" ref="D14:Q14" si="7">D9-D11-D12</f>
        <v>20267.580000000031</v>
      </c>
      <c r="E14" s="82">
        <f t="shared" si="7"/>
        <v>-23592.547000000006</v>
      </c>
      <c r="F14" s="82">
        <f t="shared" si="7"/>
        <v>-18338.779999999984</v>
      </c>
      <c r="G14" s="82">
        <f t="shared" si="7"/>
        <v>-11431.422000000024</v>
      </c>
      <c r="H14" s="82">
        <f t="shared" si="7"/>
        <v>17158.213999999993</v>
      </c>
      <c r="I14" s="82">
        <f t="shared" si="7"/>
        <v>1097.7700000000114</v>
      </c>
      <c r="J14" s="82">
        <f t="shared" si="7"/>
        <v>9377.1679999999724</v>
      </c>
      <c r="K14" s="82">
        <f t="shared" si="7"/>
        <v>19369.5</v>
      </c>
      <c r="L14" s="82">
        <f t="shared" si="7"/>
        <v>44908</v>
      </c>
      <c r="M14" s="93">
        <f t="shared" si="7"/>
        <v>21124.26872487463</v>
      </c>
      <c r="N14" s="93">
        <f t="shared" si="7"/>
        <v>25913.318476696855</v>
      </c>
      <c r="O14" s="93">
        <f t="shared" si="7"/>
        <v>29132.527490704342</v>
      </c>
      <c r="P14" s="93">
        <f t="shared" si="7"/>
        <v>33421.639979793101</v>
      </c>
      <c r="Q14" s="93">
        <f t="shared" si="7"/>
        <v>36089.540918800252</v>
      </c>
    </row>
    <row r="15" spans="1:17" x14ac:dyDescent="0.35">
      <c r="M15" s="79"/>
      <c r="N15" s="79"/>
      <c r="O15" s="79"/>
      <c r="P15" s="79"/>
      <c r="Q15" s="7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49"/>
  <sheetViews>
    <sheetView topLeftCell="A13" workbookViewId="0">
      <selection activeCell="E1" sqref="E1"/>
    </sheetView>
  </sheetViews>
  <sheetFormatPr defaultRowHeight="14.5" x14ac:dyDescent="0.35"/>
  <cols>
    <col min="1" max="1" width="1.90625" style="64" customWidth="1"/>
    <col min="2" max="2" width="25.54296875" style="8" customWidth="1"/>
    <col min="3" max="4" width="10.6328125" style="8" customWidth="1"/>
    <col min="5" max="5" width="11.81640625" style="8" customWidth="1"/>
    <col min="6" max="7" width="10.6328125" style="8" customWidth="1"/>
    <col min="8" max="8" width="12.90625" style="8" bestFit="1" customWidth="1"/>
    <col min="9" max="10" width="10.6328125" style="8" customWidth="1"/>
    <col min="11" max="16384" width="8.7265625" style="8"/>
  </cols>
  <sheetData>
    <row r="2" spans="2:10" ht="18.5" x14ac:dyDescent="0.45">
      <c r="B2" s="112" t="s">
        <v>234</v>
      </c>
      <c r="C2" s="17"/>
      <c r="D2" s="17"/>
      <c r="E2" s="17"/>
      <c r="F2" s="17"/>
      <c r="G2" s="17"/>
      <c r="H2" s="17"/>
      <c r="I2" s="17"/>
      <c r="J2" s="17"/>
    </row>
    <row r="4" spans="2:10" x14ac:dyDescent="0.35">
      <c r="B4" s="106" t="s">
        <v>235</v>
      </c>
    </row>
    <row r="6" spans="2:10" x14ac:dyDescent="0.35">
      <c r="B6" s="11" t="s">
        <v>236</v>
      </c>
    </row>
    <row r="7" spans="2:10" x14ac:dyDescent="0.35">
      <c r="B7" s="113"/>
      <c r="C7" s="113"/>
      <c r="D7" s="113"/>
      <c r="E7" s="113"/>
      <c r="F7" s="113"/>
      <c r="G7" s="113" t="s">
        <v>237</v>
      </c>
      <c r="H7" s="113" t="s">
        <v>237</v>
      </c>
      <c r="I7" s="113" t="s">
        <v>238</v>
      </c>
      <c r="J7" s="113" t="s">
        <v>239</v>
      </c>
    </row>
    <row r="8" spans="2:10" ht="16.5" x14ac:dyDescent="0.35">
      <c r="B8" s="95" t="s">
        <v>240</v>
      </c>
      <c r="C8" s="95" t="s">
        <v>241</v>
      </c>
      <c r="D8" s="95" t="s">
        <v>242</v>
      </c>
      <c r="E8" s="95" t="s">
        <v>243</v>
      </c>
      <c r="F8" s="95" t="s">
        <v>244</v>
      </c>
      <c r="G8" s="95" t="s">
        <v>245</v>
      </c>
      <c r="H8" s="95" t="s">
        <v>246</v>
      </c>
      <c r="I8" s="95" t="s">
        <v>247</v>
      </c>
      <c r="J8" s="95" t="s">
        <v>248</v>
      </c>
    </row>
    <row r="10" spans="2:10" x14ac:dyDescent="0.35">
      <c r="B10" s="114" t="s">
        <v>249</v>
      </c>
      <c r="C10" s="114" t="s">
        <v>250</v>
      </c>
      <c r="D10" s="115">
        <f>'[1]Comparable Companies'!D4</f>
        <v>71540</v>
      </c>
      <c r="E10" s="115">
        <f>'[1]Comparable Companies'!C4</f>
        <v>265646.13</v>
      </c>
      <c r="F10" s="86">
        <v>0.3</v>
      </c>
      <c r="G10" s="116">
        <f>IFERROR(D10/E10,0)</f>
        <v>0.26930563603542801</v>
      </c>
      <c r="H10" s="116">
        <f>IFERROR(D10/(E10+D10),0)</f>
        <v>0.21216768317249585</v>
      </c>
      <c r="I10" s="117">
        <f>'[1]Comparable Companies'!E4</f>
        <v>1.4301534159320135</v>
      </c>
      <c r="J10" s="118">
        <f>IFERROR(I10/(1+(1-F10)*(G10)),0)</f>
        <v>1.2033122721681733</v>
      </c>
    </row>
    <row r="11" spans="2:10" x14ac:dyDescent="0.35">
      <c r="B11" s="114" t="s">
        <v>251</v>
      </c>
      <c r="C11" s="114" t="s">
        <v>250</v>
      </c>
      <c r="D11" s="115">
        <f>'[1]Comparable Companies'!D5</f>
        <v>87</v>
      </c>
      <c r="E11" s="115">
        <f>'[1]Comparable Companies'!C5</f>
        <v>390173.59</v>
      </c>
      <c r="F11" s="86">
        <v>0.3</v>
      </c>
      <c r="G11" s="116">
        <f t="shared" ref="G11:G14" si="0">IFERROR(D11/E11,0)</f>
        <v>2.2297767514197975E-4</v>
      </c>
      <c r="H11" s="116">
        <f t="shared" ref="H11:H14" si="1">IFERROR(D11/(E11+D11),0)</f>
        <v>2.2292796718213333E-4</v>
      </c>
      <c r="I11" s="117">
        <f>'[1]Comparable Companies'!E5</f>
        <v>0.82316866903252717</v>
      </c>
      <c r="J11" s="118">
        <f t="shared" ref="J11:J14" si="2">IFERROR(I11/(1+(1-F11)*(G11)),0)</f>
        <v>0.82304020531845601</v>
      </c>
    </row>
    <row r="12" spans="2:10" x14ac:dyDescent="0.35">
      <c r="B12" s="114" t="s">
        <v>252</v>
      </c>
      <c r="C12" s="114" t="s">
        <v>250</v>
      </c>
      <c r="D12" s="115">
        <f>'[1]Comparable Companies'!D6</f>
        <v>124949.31</v>
      </c>
      <c r="E12" s="115">
        <f>'[1]Comparable Companies'!C6</f>
        <v>370148.81</v>
      </c>
      <c r="F12" s="86">
        <v>0.3</v>
      </c>
      <c r="G12" s="116">
        <f t="shared" si="0"/>
        <v>0.33756507281490383</v>
      </c>
      <c r="H12" s="116">
        <f t="shared" si="1"/>
        <v>0.25237282258312754</v>
      </c>
      <c r="I12" s="117">
        <f>'[1]Comparable Companies'!E6</f>
        <v>1.6044107601961133</v>
      </c>
      <c r="J12" s="118">
        <f t="shared" si="2"/>
        <v>1.2977566399367269</v>
      </c>
    </row>
    <row r="13" spans="2:10" x14ac:dyDescent="0.35">
      <c r="B13" s="114" t="s">
        <v>253</v>
      </c>
      <c r="C13" s="114" t="s">
        <v>250</v>
      </c>
      <c r="D13" s="115">
        <f>'[1]Comparable Companies'!D7</f>
        <v>9364.16</v>
      </c>
      <c r="E13" s="115">
        <f>'[1]Comparable Companies'!C7</f>
        <v>242885.68</v>
      </c>
      <c r="F13" s="86">
        <v>0.3</v>
      </c>
      <c r="G13" s="116">
        <f t="shared" si="0"/>
        <v>3.8553775586934562E-2</v>
      </c>
      <c r="H13" s="116">
        <f t="shared" si="1"/>
        <v>3.7122560712030579E-2</v>
      </c>
      <c r="I13" s="117">
        <f>'[1]Comparable Companies'!E7</f>
        <v>1.1253638598711027</v>
      </c>
      <c r="J13" s="118">
        <f t="shared" si="2"/>
        <v>1.0957910425109056</v>
      </c>
    </row>
    <row r="14" spans="2:10" x14ac:dyDescent="0.35">
      <c r="B14" s="114" t="s">
        <v>254</v>
      </c>
      <c r="C14" s="114" t="s">
        <v>250</v>
      </c>
      <c r="D14" s="115">
        <f>'[1]Comparable Companies'!D8</f>
        <v>847.29</v>
      </c>
      <c r="E14" s="115">
        <f>'[1]Comparable Companies'!C8</f>
        <v>152343.32999999999</v>
      </c>
      <c r="F14" s="86">
        <v>0.3</v>
      </c>
      <c r="G14" s="116">
        <f t="shared" si="0"/>
        <v>5.5617137947555698E-3</v>
      </c>
      <c r="H14" s="116">
        <f t="shared" si="1"/>
        <v>5.5309522214871901E-3</v>
      </c>
      <c r="I14" s="117">
        <f>'[1]Comparable Companies'!E8</f>
        <v>0.81985035777067183</v>
      </c>
      <c r="J14" s="118">
        <f t="shared" si="2"/>
        <v>0.81667089492322287</v>
      </c>
    </row>
    <row r="16" spans="2:10" x14ac:dyDescent="0.35">
      <c r="E16" s="119" t="s">
        <v>255</v>
      </c>
      <c r="F16" s="120">
        <f>AVERAGE(F10:F14)</f>
        <v>0.3</v>
      </c>
      <c r="G16" s="121">
        <f t="shared" ref="G16:J16" si="3">AVERAGE(G10:G14)</f>
        <v>0.13024183518143279</v>
      </c>
      <c r="H16" s="121">
        <f t="shared" si="3"/>
        <v>0.10148338933126463</v>
      </c>
      <c r="I16" s="122">
        <f t="shared" si="3"/>
        <v>1.1605894125604856</v>
      </c>
      <c r="J16" s="123">
        <f t="shared" si="3"/>
        <v>1.0473142109714968</v>
      </c>
    </row>
    <row r="17" spans="2:10" x14ac:dyDescent="0.35">
      <c r="E17" s="124" t="s">
        <v>156</v>
      </c>
      <c r="F17" s="125">
        <f>MEDIAN(F10:F14)</f>
        <v>0.3</v>
      </c>
      <c r="G17" s="126">
        <f t="shared" ref="G17:J17" si="4">MEDIAN(G10:G14)</f>
        <v>3.8553775586934562E-2</v>
      </c>
      <c r="H17" s="126">
        <f t="shared" si="4"/>
        <v>3.7122560712030579E-2</v>
      </c>
      <c r="I17" s="127">
        <f t="shared" si="4"/>
        <v>1.1253638598711027</v>
      </c>
      <c r="J17" s="128">
        <f t="shared" si="4"/>
        <v>1.0957910425109056</v>
      </c>
    </row>
    <row r="20" spans="2:10" x14ac:dyDescent="0.35">
      <c r="B20" s="124" t="s">
        <v>256</v>
      </c>
      <c r="C20" s="129"/>
      <c r="D20" s="129"/>
      <c r="E20" s="124"/>
      <c r="G20" s="124" t="s">
        <v>257</v>
      </c>
      <c r="H20" s="124"/>
      <c r="I20" s="129"/>
      <c r="J20" s="129"/>
    </row>
    <row r="21" spans="2:10" x14ac:dyDescent="0.35">
      <c r="E21" s="13"/>
    </row>
    <row r="22" spans="2:10" ht="16.5" x14ac:dyDescent="0.35">
      <c r="B22" s="8" t="s">
        <v>258</v>
      </c>
      <c r="E22" s="130">
        <f>'[1]Other Input Calculations'!C10+(0.75*'[1]Other Input Calculations'!C11)+'[1]Other Input Calculations'!C12</f>
        <v>6.9754999999999998E-2</v>
      </c>
      <c r="G22" s="8" t="s">
        <v>259</v>
      </c>
      <c r="J22" s="130">
        <f>'[1]Other Input Calculations'!C4-'[1]Other Input Calculations'!C5</f>
        <v>4.0079999999999998E-2</v>
      </c>
    </row>
    <row r="23" spans="2:10" ht="16.5" x14ac:dyDescent="0.35">
      <c r="B23" s="8" t="s">
        <v>260</v>
      </c>
      <c r="C23" s="33"/>
      <c r="D23" s="33"/>
      <c r="E23" s="89">
        <f>F16</f>
        <v>0.3</v>
      </c>
      <c r="G23" s="8" t="s">
        <v>261</v>
      </c>
      <c r="J23" s="130">
        <f>'[1]Other Input Calculations'!C7</f>
        <v>7.2599999999999998E-2</v>
      </c>
    </row>
    <row r="24" spans="2:10" ht="16.5" x14ac:dyDescent="0.35">
      <c r="B24" s="28" t="s">
        <v>262</v>
      </c>
      <c r="E24" s="131">
        <f>IFERROR(E22*(1-E23),0)</f>
        <v>4.8828499999999997E-2</v>
      </c>
      <c r="G24" s="8" t="s">
        <v>263</v>
      </c>
      <c r="J24" s="94">
        <f>J32</f>
        <v>1.1824262937357621</v>
      </c>
    </row>
    <row r="25" spans="2:10" x14ac:dyDescent="0.35">
      <c r="G25" s="28" t="s">
        <v>264</v>
      </c>
      <c r="H25" s="28"/>
      <c r="I25" s="28"/>
      <c r="J25" s="131">
        <f>IFERROR(J22+(J24*J23),0)</f>
        <v>0.12592414892521633</v>
      </c>
    </row>
    <row r="27" spans="2:10" x14ac:dyDescent="0.35">
      <c r="B27" s="124" t="s">
        <v>265</v>
      </c>
      <c r="C27" s="129"/>
      <c r="D27" s="129"/>
      <c r="E27" s="124"/>
      <c r="G27" s="124" t="s">
        <v>266</v>
      </c>
      <c r="H27" s="124"/>
      <c r="I27" s="129"/>
      <c r="J27" s="129"/>
    </row>
    <row r="28" spans="2:10" x14ac:dyDescent="0.35">
      <c r="D28" s="132" t="s">
        <v>267</v>
      </c>
      <c r="E28" s="132" t="s">
        <v>268</v>
      </c>
    </row>
    <row r="29" spans="2:10" x14ac:dyDescent="0.35">
      <c r="B29" s="8" t="s">
        <v>242</v>
      </c>
      <c r="C29" s="114">
        <f>D10</f>
        <v>71540</v>
      </c>
      <c r="D29" s="14">
        <f>IFERROR(C29/C31,0)</f>
        <v>0.21216768317249585</v>
      </c>
      <c r="E29" s="89">
        <f>H16</f>
        <v>0.10148338933126463</v>
      </c>
      <c r="G29" s="8" t="s">
        <v>269</v>
      </c>
      <c r="J29" s="94">
        <f>J17</f>
        <v>1.0957910425109056</v>
      </c>
    </row>
    <row r="30" spans="2:10" x14ac:dyDescent="0.35">
      <c r="B30" s="8" t="s">
        <v>9</v>
      </c>
      <c r="C30" s="114">
        <f>E10</f>
        <v>265646.13</v>
      </c>
      <c r="D30" s="14">
        <f>IFERROR(C30/C31,0)</f>
        <v>0.7878323168275041</v>
      </c>
      <c r="E30" s="89">
        <f>E31-E29</f>
        <v>0.89851661066873534</v>
      </c>
      <c r="G30" s="8" t="s">
        <v>270</v>
      </c>
      <c r="J30" s="89">
        <f>E33</f>
        <v>0.11294547938933928</v>
      </c>
    </row>
    <row r="31" spans="2:10" x14ac:dyDescent="0.35">
      <c r="B31" s="28" t="s">
        <v>271</v>
      </c>
      <c r="C31" s="28">
        <f>C29+C30</f>
        <v>337186.13</v>
      </c>
      <c r="D31" s="30">
        <f>IFERROR(SUM(D29:D30),0)</f>
        <v>1</v>
      </c>
      <c r="E31" s="30">
        <v>1</v>
      </c>
      <c r="G31" s="8" t="s">
        <v>272</v>
      </c>
      <c r="J31" s="89">
        <f>E23</f>
        <v>0.3</v>
      </c>
    </row>
    <row r="32" spans="2:10" x14ac:dyDescent="0.35">
      <c r="G32" s="28" t="s">
        <v>266</v>
      </c>
      <c r="H32" s="28"/>
      <c r="I32" s="28"/>
      <c r="J32" s="133">
        <f>IFERROR(J29*(1+((1-J31)*J30)),0)</f>
        <v>1.1824262937357621</v>
      </c>
    </row>
    <row r="33" spans="2:5" x14ac:dyDescent="0.35">
      <c r="B33" s="8" t="s">
        <v>273</v>
      </c>
      <c r="D33" s="116">
        <f>IFERROR(D29/D30,0)</f>
        <v>0.26930563603542806</v>
      </c>
      <c r="E33" s="116">
        <f>IFERROR(E29/E30,0)</f>
        <v>0.11294547938933928</v>
      </c>
    </row>
    <row r="35" spans="2:5" x14ac:dyDescent="0.35">
      <c r="B35" s="124" t="s">
        <v>265</v>
      </c>
      <c r="C35" s="129"/>
      <c r="D35" s="129"/>
      <c r="E35" s="124"/>
    </row>
    <row r="36" spans="2:5" x14ac:dyDescent="0.35">
      <c r="D36" s="132" t="s">
        <v>274</v>
      </c>
      <c r="E36" s="132" t="s">
        <v>275</v>
      </c>
    </row>
    <row r="37" spans="2:5" x14ac:dyDescent="0.35">
      <c r="B37" s="8" t="s">
        <v>276</v>
      </c>
      <c r="D37" s="89">
        <f>E24</f>
        <v>4.8828499999999997E-2</v>
      </c>
      <c r="E37" s="89">
        <f>E29</f>
        <v>0.10148338933126463</v>
      </c>
    </row>
    <row r="38" spans="2:5" x14ac:dyDescent="0.35">
      <c r="B38" s="8" t="s">
        <v>245</v>
      </c>
      <c r="D38" s="89">
        <f>J25</f>
        <v>0.12592414892521633</v>
      </c>
      <c r="E38" s="89">
        <f>E30</f>
        <v>0.89851661066873534</v>
      </c>
    </row>
    <row r="39" spans="2:5" x14ac:dyDescent="0.35">
      <c r="B39" s="134" t="s">
        <v>277</v>
      </c>
      <c r="C39" s="134"/>
      <c r="D39" s="134"/>
      <c r="E39" s="135">
        <f>(D37*E37)+(D38*E38)</f>
        <v>0.11810022116959211</v>
      </c>
    </row>
    <row r="42" spans="2:5" x14ac:dyDescent="0.35">
      <c r="B42" s="107" t="s">
        <v>278</v>
      </c>
    </row>
    <row r="43" spans="2:5" x14ac:dyDescent="0.35">
      <c r="B43" s="136" t="s">
        <v>279</v>
      </c>
    </row>
    <row r="44" spans="2:5" x14ac:dyDescent="0.35">
      <c r="B44" s="136" t="s">
        <v>280</v>
      </c>
    </row>
    <row r="45" spans="2:5" x14ac:dyDescent="0.35">
      <c r="B45" s="136" t="s">
        <v>281</v>
      </c>
    </row>
    <row r="46" spans="2:5" x14ac:dyDescent="0.35">
      <c r="B46" s="136" t="s">
        <v>282</v>
      </c>
    </row>
    <row r="47" spans="2:5" x14ac:dyDescent="0.35">
      <c r="B47" s="136" t="s">
        <v>283</v>
      </c>
    </row>
    <row r="48" spans="2:5" x14ac:dyDescent="0.35">
      <c r="B48" s="136" t="s">
        <v>284</v>
      </c>
    </row>
    <row r="49" spans="2:3" x14ac:dyDescent="0.35">
      <c r="B49" s="136" t="s">
        <v>285</v>
      </c>
      <c r="C49" s="137" t="s">
        <v>286</v>
      </c>
    </row>
  </sheetData>
  <hyperlinks>
    <hyperlink ref="C49" r:id="rId1"/>
  </hyperlinks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22"/>
  <sheetViews>
    <sheetView tabSelected="1" topLeftCell="A10" workbookViewId="0">
      <selection activeCell="F25" sqref="F25"/>
    </sheetView>
  </sheetViews>
  <sheetFormatPr defaultRowHeight="14.5" x14ac:dyDescent="0.35"/>
  <cols>
    <col min="1" max="1" width="1.90625" style="8" customWidth="1"/>
    <col min="2" max="2" width="25.36328125" style="8" customWidth="1"/>
    <col min="3" max="3" width="14.1796875" style="8" customWidth="1"/>
    <col min="4" max="16384" width="8.7265625" style="8"/>
  </cols>
  <sheetData>
    <row r="1" spans="2:17" ht="21" x14ac:dyDescent="0.5">
      <c r="B1" s="54" t="s">
        <v>216</v>
      </c>
    </row>
    <row r="2" spans="2:17" ht="15" thickBot="1" x14ac:dyDescent="0.4"/>
    <row r="3" spans="2:17" ht="15" thickTop="1" x14ac:dyDescent="0.35">
      <c r="B3" s="108" t="s">
        <v>217</v>
      </c>
      <c r="C3" s="110">
        <f>[1]Wacc!$E$39</f>
        <v>0.11810022116959211</v>
      </c>
    </row>
    <row r="4" spans="2:17" ht="15" thickBot="1" x14ac:dyDescent="0.4">
      <c r="B4" s="109" t="s">
        <v>218</v>
      </c>
      <c r="C4" s="111">
        <v>0.02</v>
      </c>
    </row>
    <row r="5" spans="2:17" ht="15" thickTop="1" x14ac:dyDescent="0.35">
      <c r="H5" s="96">
        <v>1</v>
      </c>
      <c r="I5" s="96">
        <v>2</v>
      </c>
      <c r="J5" s="96">
        <v>3</v>
      </c>
      <c r="K5" s="96">
        <v>4</v>
      </c>
      <c r="L5" s="96">
        <v>5</v>
      </c>
    </row>
    <row r="6" spans="2:17" x14ac:dyDescent="0.35">
      <c r="B6" s="9" t="s">
        <v>212</v>
      </c>
      <c r="C6" s="10">
        <v>44197</v>
      </c>
      <c r="D6" s="10">
        <f>C6+365</f>
        <v>44562</v>
      </c>
      <c r="E6" s="10">
        <f t="shared" ref="E6:L6" si="0">D6+365</f>
        <v>44927</v>
      </c>
      <c r="F6" s="10">
        <f t="shared" si="0"/>
        <v>45292</v>
      </c>
      <c r="G6" s="10">
        <f>F6+365+10</f>
        <v>45667</v>
      </c>
      <c r="H6" s="10">
        <f t="shared" si="0"/>
        <v>46032</v>
      </c>
      <c r="I6" s="10">
        <f t="shared" si="0"/>
        <v>46397</v>
      </c>
      <c r="J6" s="10">
        <f t="shared" si="0"/>
        <v>46762</v>
      </c>
      <c r="K6" s="10">
        <f t="shared" si="0"/>
        <v>47127</v>
      </c>
      <c r="L6" s="10">
        <f t="shared" si="0"/>
        <v>47492</v>
      </c>
      <c r="M6" s="63"/>
      <c r="N6" s="63"/>
      <c r="O6" s="63"/>
      <c r="P6" s="63"/>
      <c r="Q6" s="63"/>
    </row>
    <row r="7" spans="2:17" x14ac:dyDescent="0.35">
      <c r="B7" s="8" t="s">
        <v>211</v>
      </c>
      <c r="C7" s="67">
        <f>FCFF!H14</f>
        <v>17158.213999999993</v>
      </c>
      <c r="D7" s="67">
        <f>FCFF!I14</f>
        <v>1097.7700000000114</v>
      </c>
      <c r="E7" s="67">
        <f>FCFF!J14</f>
        <v>9377.1679999999724</v>
      </c>
      <c r="F7" s="67">
        <f>FCFF!K14</f>
        <v>19369.5</v>
      </c>
      <c r="G7" s="67">
        <f>FCFF!L14</f>
        <v>44908</v>
      </c>
      <c r="H7" s="90">
        <f>FCFF!M14</f>
        <v>21124.26872487463</v>
      </c>
      <c r="I7" s="90">
        <f>FCFF!N14</f>
        <v>25913.318476696855</v>
      </c>
      <c r="J7" s="90">
        <f>FCFF!O14</f>
        <v>29132.527490704342</v>
      </c>
      <c r="K7" s="90">
        <f>FCFF!P14</f>
        <v>33421.639979793101</v>
      </c>
      <c r="L7" s="90">
        <f>FCFF!Q14</f>
        <v>36089.540918800252</v>
      </c>
    </row>
    <row r="8" spans="2:17" x14ac:dyDescent="0.35">
      <c r="B8" s="95" t="s">
        <v>219</v>
      </c>
      <c r="C8" s="69">
        <v>0</v>
      </c>
      <c r="D8" s="69">
        <v>0</v>
      </c>
      <c r="E8" s="69">
        <v>0</v>
      </c>
      <c r="F8" s="69">
        <v>0</v>
      </c>
      <c r="G8" s="69">
        <v>0</v>
      </c>
      <c r="H8" s="97">
        <f>1/(1+$C$3)^H5</f>
        <v>0.89437420820286306</v>
      </c>
      <c r="I8" s="97">
        <f t="shared" ref="I8:L8" si="1">1/(1+$C$3)^I5</f>
        <v>0.79990522429849831</v>
      </c>
      <c r="J8" s="97">
        <f t="shared" si="1"/>
        <v>0.71541460161930293</v>
      </c>
      <c r="K8" s="97">
        <f t="shared" si="1"/>
        <v>0.63984836786003085</v>
      </c>
      <c r="L8" s="97">
        <f t="shared" si="1"/>
        <v>0.57226387737470941</v>
      </c>
    </row>
    <row r="9" spans="2:17" x14ac:dyDescent="0.35">
      <c r="B9" s="53" t="s">
        <v>220</v>
      </c>
      <c r="C9" s="53"/>
      <c r="D9" s="53"/>
      <c r="E9" s="53"/>
      <c r="F9" s="53"/>
      <c r="G9" s="53"/>
      <c r="H9" s="98">
        <f>H7*H8</f>
        <v>18893.001114674251</v>
      </c>
      <c r="I9" s="98">
        <f t="shared" ref="I9:L9" si="2">I7*I8</f>
        <v>20728.19882842062</v>
      </c>
      <c r="J9" s="98">
        <f t="shared" si="2"/>
        <v>20841.835548925639</v>
      </c>
      <c r="K9" s="98">
        <f t="shared" si="2"/>
        <v>21384.781792276171</v>
      </c>
      <c r="L9" s="98">
        <f t="shared" si="2"/>
        <v>20652.740618865864</v>
      </c>
    </row>
    <row r="10" spans="2:17" x14ac:dyDescent="0.35">
      <c r="H10" s="79"/>
      <c r="I10" s="79"/>
      <c r="J10" s="79"/>
      <c r="K10" s="79"/>
      <c r="L10" s="79"/>
    </row>
    <row r="11" spans="2:17" x14ac:dyDescent="0.35">
      <c r="B11" s="138" t="s">
        <v>221</v>
      </c>
      <c r="C11" s="138"/>
      <c r="D11" s="138"/>
      <c r="E11" s="138"/>
      <c r="F11" s="138"/>
      <c r="G11" s="138"/>
      <c r="H11" s="138"/>
      <c r="I11" s="138"/>
      <c r="J11" s="138"/>
      <c r="K11" s="138"/>
      <c r="L11" s="138"/>
    </row>
    <row r="12" spans="2:17" x14ac:dyDescent="0.35">
      <c r="B12" s="8" t="s">
        <v>222</v>
      </c>
      <c r="C12" s="67">
        <f>SUM(H9:L9)</f>
        <v>102500.55790316255</v>
      </c>
    </row>
    <row r="13" spans="2:17" x14ac:dyDescent="0.35">
      <c r="B13" s="8" t="s">
        <v>223</v>
      </c>
      <c r="C13" s="67">
        <f>L7*(1+C4)/(C3-C4)</f>
        <v>375242.08710537117</v>
      </c>
    </row>
    <row r="14" spans="2:17" ht="15" thickBot="1" x14ac:dyDescent="0.4">
      <c r="B14" s="8" t="s">
        <v>224</v>
      </c>
      <c r="C14" s="67">
        <f>C13*L8</f>
        <v>214737.49172109817</v>
      </c>
    </row>
    <row r="15" spans="2:17" ht="15" thickTop="1" x14ac:dyDescent="0.35">
      <c r="B15" s="99" t="s">
        <v>225</v>
      </c>
      <c r="C15" s="100">
        <f>C12+C14</f>
        <v>317238.04962426075</v>
      </c>
    </row>
    <row r="16" spans="2:17" x14ac:dyDescent="0.35">
      <c r="B16" s="8" t="s">
        <v>226</v>
      </c>
      <c r="C16" s="67">
        <f>-'Raw BS Data'!N5</f>
        <v>-71540</v>
      </c>
    </row>
    <row r="17" spans="2:5" ht="15" thickBot="1" x14ac:dyDescent="0.4">
      <c r="B17" s="8" t="s">
        <v>227</v>
      </c>
      <c r="C17" s="67">
        <f>'Raw BS Data'!N30</f>
        <v>40834</v>
      </c>
    </row>
    <row r="18" spans="2:5" ht="15.5" thickTop="1" thickBot="1" x14ac:dyDescent="0.4">
      <c r="B18" s="101" t="s">
        <v>228</v>
      </c>
      <c r="C18" s="102">
        <f>SUM(C15:C17)</f>
        <v>286532.04962426075</v>
      </c>
    </row>
    <row r="19" spans="2:5" ht="15" thickTop="1" x14ac:dyDescent="0.35">
      <c r="B19" s="8" t="s">
        <v>229</v>
      </c>
      <c r="C19" s="142">
        <f>3680621202/10000000</f>
        <v>368.06212019999998</v>
      </c>
    </row>
    <row r="20" spans="2:5" x14ac:dyDescent="0.35">
      <c r="B20" s="9" t="s">
        <v>230</v>
      </c>
      <c r="C20" s="103">
        <f>C18/C19</f>
        <v>778.48828743518379</v>
      </c>
      <c r="D20" s="139" t="s">
        <v>233</v>
      </c>
      <c r="E20" s="139"/>
    </row>
    <row r="21" spans="2:5" x14ac:dyDescent="0.35">
      <c r="B21" s="11" t="s">
        <v>231</v>
      </c>
      <c r="C21" s="11">
        <v>715</v>
      </c>
      <c r="D21" s="139" t="s">
        <v>233</v>
      </c>
      <c r="E21" s="139"/>
    </row>
    <row r="22" spans="2:5" x14ac:dyDescent="0.35">
      <c r="B22" s="104" t="s">
        <v>232</v>
      </c>
      <c r="C22" s="105">
        <f>(C20-C21)/C21</f>
        <v>8.8794807601655659E-2</v>
      </c>
      <c r="D22" s="139" t="s">
        <v>233</v>
      </c>
      <c r="E22" s="139"/>
    </row>
  </sheetData>
  <mergeCells count="4">
    <mergeCell ref="B11:L11"/>
    <mergeCell ref="D20:E20"/>
    <mergeCell ref="D21:E21"/>
    <mergeCell ref="D22:E2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C10"/>
  <sheetViews>
    <sheetView workbookViewId="0">
      <selection activeCell="D12" sqref="D12"/>
    </sheetView>
  </sheetViews>
  <sheetFormatPr defaultRowHeight="14.5" x14ac:dyDescent="0.35"/>
  <cols>
    <col min="1" max="16384" width="8.7265625" style="8"/>
  </cols>
  <sheetData>
    <row r="10" spans="3:3" ht="32" x14ac:dyDescent="0.7">
      <c r="C10" s="55" t="s">
        <v>287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3"/>
  <sheetViews>
    <sheetView zoomScale="120" zoomScaleNormal="120" zoomScalePageLayoutView="120" workbookViewId="0">
      <pane xSplit="1" ySplit="1" topLeftCell="D14" activePane="bottomRight" state="frozen"/>
      <selection activeCell="C4" sqref="C4"/>
      <selection pane="topRight" activeCell="C4" sqref="C4"/>
      <selection pane="bottomLeft" activeCell="C4" sqref="C4"/>
      <selection pane="bottomRight" activeCell="B1" sqref="B1"/>
    </sheetView>
  </sheetViews>
  <sheetFormatPr defaultColWidth="8.81640625" defaultRowHeight="14.5" x14ac:dyDescent="0.35"/>
  <cols>
    <col min="1" max="1" width="27.6328125" style="2" bestFit="1" customWidth="1"/>
    <col min="2" max="11" width="13.453125" style="2" bestFit="1" customWidth="1"/>
    <col min="12" max="16384" width="8.81640625" style="2"/>
  </cols>
  <sheetData>
    <row r="1" spans="1:11" s="1" customFormat="1" x14ac:dyDescent="0.35">
      <c r="A1" s="1" t="s">
        <v>0</v>
      </c>
      <c r="B1" s="1" t="s">
        <v>1</v>
      </c>
      <c r="E1" s="140" t="str">
        <f>IF(B2&lt;&gt;B3, "A NEW VERSION OF THE WORKSHEET IS AVAILABLE", "")</f>
        <v/>
      </c>
      <c r="F1" s="140"/>
      <c r="G1" s="140"/>
      <c r="H1" s="140"/>
      <c r="I1" s="140"/>
      <c r="J1" s="140"/>
      <c r="K1" s="140"/>
    </row>
    <row r="2" spans="1:11" x14ac:dyDescent="0.35">
      <c r="A2" s="1" t="s">
        <v>2</v>
      </c>
      <c r="B2" s="2">
        <v>2.1</v>
      </c>
      <c r="E2" s="141" t="s">
        <v>3</v>
      </c>
      <c r="F2" s="141"/>
      <c r="G2" s="141"/>
      <c r="H2" s="141"/>
      <c r="I2" s="141"/>
      <c r="J2" s="141"/>
      <c r="K2" s="141"/>
    </row>
    <row r="3" spans="1:11" x14ac:dyDescent="0.35">
      <c r="A3" s="1" t="s">
        <v>4</v>
      </c>
      <c r="B3" s="2">
        <v>2.1</v>
      </c>
    </row>
    <row r="4" spans="1:11" x14ac:dyDescent="0.35">
      <c r="A4" s="1"/>
    </row>
    <row r="5" spans="1:11" x14ac:dyDescent="0.35">
      <c r="A5" s="1" t="s">
        <v>5</v>
      </c>
    </row>
    <row r="6" spans="1:11" x14ac:dyDescent="0.35">
      <c r="A6" s="2" t="s">
        <v>6</v>
      </c>
      <c r="B6" s="2">
        <f>IF(B9&gt;0, B9/B8, 0)</f>
        <v>368.13490420920152</v>
      </c>
    </row>
    <row r="7" spans="1:11" x14ac:dyDescent="0.35">
      <c r="A7" s="2" t="s">
        <v>7</v>
      </c>
      <c r="B7">
        <v>2</v>
      </c>
    </row>
    <row r="8" spans="1:11" x14ac:dyDescent="0.35">
      <c r="A8" s="2" t="s">
        <v>8</v>
      </c>
      <c r="B8">
        <v>715.1</v>
      </c>
    </row>
    <row r="9" spans="1:11" x14ac:dyDescent="0.35">
      <c r="A9" s="2" t="s">
        <v>9</v>
      </c>
      <c r="B9">
        <v>263253.27</v>
      </c>
    </row>
    <row r="15" spans="1:11" x14ac:dyDescent="0.35">
      <c r="A15" s="1" t="s">
        <v>10</v>
      </c>
    </row>
    <row r="16" spans="1:11" s="5" customFormat="1" x14ac:dyDescent="0.35">
      <c r="A16" s="3" t="s">
        <v>11</v>
      </c>
      <c r="B16" s="4">
        <v>42460</v>
      </c>
      <c r="C16" s="4">
        <v>42825</v>
      </c>
      <c r="D16" s="4">
        <v>43190</v>
      </c>
      <c r="E16" s="4">
        <v>43555</v>
      </c>
      <c r="F16" s="4">
        <v>43921</v>
      </c>
      <c r="G16" s="4">
        <v>44286</v>
      </c>
      <c r="H16" s="4">
        <v>44651</v>
      </c>
      <c r="I16" s="4">
        <v>45016</v>
      </c>
      <c r="J16" s="4">
        <v>45382</v>
      </c>
      <c r="K16" s="4">
        <v>45747</v>
      </c>
    </row>
    <row r="17" spans="1:11" s="6" customFormat="1" x14ac:dyDescent="0.35">
      <c r="A17" s="6" t="s">
        <v>12</v>
      </c>
      <c r="B17">
        <v>273045.59999999998</v>
      </c>
      <c r="C17">
        <v>269692.51</v>
      </c>
      <c r="D17">
        <v>291550.48</v>
      </c>
      <c r="E17">
        <v>301938.40000000002</v>
      </c>
      <c r="F17">
        <v>261067.97</v>
      </c>
      <c r="G17">
        <v>249794.75</v>
      </c>
      <c r="H17">
        <v>278453.62</v>
      </c>
      <c r="I17">
        <v>345966.97</v>
      </c>
      <c r="J17">
        <v>434016</v>
      </c>
      <c r="K17">
        <v>439695</v>
      </c>
    </row>
    <row r="18" spans="1:11" s="6" customFormat="1" x14ac:dyDescent="0.35">
      <c r="A18" s="2" t="s">
        <v>13</v>
      </c>
      <c r="B18">
        <v>166134.01</v>
      </c>
      <c r="C18">
        <v>173294.07999999999</v>
      </c>
      <c r="D18">
        <v>187896.58</v>
      </c>
      <c r="E18">
        <v>194267.91</v>
      </c>
      <c r="F18">
        <v>164899.82</v>
      </c>
      <c r="G18">
        <v>153607.35999999999</v>
      </c>
      <c r="H18">
        <v>179295.33</v>
      </c>
      <c r="I18">
        <v>231251.26</v>
      </c>
      <c r="J18">
        <v>274321</v>
      </c>
      <c r="K18">
        <v>268950</v>
      </c>
    </row>
    <row r="19" spans="1:11" s="6" customFormat="1" x14ac:dyDescent="0.35">
      <c r="A19" s="2" t="s">
        <v>14</v>
      </c>
      <c r="B19">
        <v>2750.99</v>
      </c>
      <c r="C19">
        <v>7399.92</v>
      </c>
      <c r="D19">
        <v>2046.58</v>
      </c>
      <c r="E19">
        <v>-2053.2800000000002</v>
      </c>
      <c r="F19">
        <v>-2231.19</v>
      </c>
      <c r="G19">
        <v>-4684.16</v>
      </c>
      <c r="H19">
        <v>-1590.49</v>
      </c>
      <c r="I19">
        <v>4781.62</v>
      </c>
      <c r="J19">
        <v>1566</v>
      </c>
      <c r="K19">
        <v>-2836</v>
      </c>
    </row>
    <row r="20" spans="1:11" s="6" customFormat="1" x14ac:dyDescent="0.35">
      <c r="A20" s="2" t="s">
        <v>15</v>
      </c>
      <c r="B20">
        <v>1143.6300000000001</v>
      </c>
      <c r="C20">
        <v>1159.82</v>
      </c>
      <c r="D20">
        <v>1308.08</v>
      </c>
      <c r="E20">
        <v>1585.93</v>
      </c>
      <c r="F20">
        <v>1264.95</v>
      </c>
      <c r="G20">
        <v>1112.8699999999999</v>
      </c>
      <c r="H20">
        <v>2178.29</v>
      </c>
      <c r="I20">
        <v>2513.33</v>
      </c>
      <c r="J20">
        <v>2189</v>
      </c>
      <c r="K20">
        <v>2443</v>
      </c>
    </row>
    <row r="21" spans="1:11" s="6" customFormat="1" x14ac:dyDescent="0.35">
      <c r="A21" s="2" t="s">
        <v>16</v>
      </c>
      <c r="B21">
        <v>12101.53</v>
      </c>
      <c r="C21">
        <v>10067.370000000001</v>
      </c>
      <c r="D21">
        <v>10971.66</v>
      </c>
      <c r="E21">
        <v>11694.54</v>
      </c>
      <c r="F21">
        <v>11541.51</v>
      </c>
      <c r="G21">
        <v>8273.17</v>
      </c>
      <c r="H21">
        <v>9427.3799999999992</v>
      </c>
      <c r="I21">
        <v>11765.97</v>
      </c>
      <c r="J21">
        <v>17446</v>
      </c>
      <c r="K21">
        <v>18813</v>
      </c>
    </row>
    <row r="22" spans="1:11" s="6" customFormat="1" x14ac:dyDescent="0.35">
      <c r="A22" s="2" t="s">
        <v>17</v>
      </c>
      <c r="B22">
        <v>28880.89</v>
      </c>
      <c r="C22">
        <v>28332.89</v>
      </c>
      <c r="D22">
        <v>30300.09</v>
      </c>
      <c r="E22">
        <v>33243.870000000003</v>
      </c>
      <c r="F22">
        <v>30438.6</v>
      </c>
      <c r="G22">
        <v>27648.48</v>
      </c>
      <c r="H22">
        <v>30808.52</v>
      </c>
      <c r="I22">
        <v>33654.699999999997</v>
      </c>
      <c r="J22">
        <v>41990</v>
      </c>
      <c r="K22">
        <v>47767</v>
      </c>
    </row>
    <row r="23" spans="1:11" s="6" customFormat="1" x14ac:dyDescent="0.35">
      <c r="A23" s="2" t="s">
        <v>18</v>
      </c>
      <c r="B23">
        <v>21991.9</v>
      </c>
      <c r="C23">
        <v>30039.38</v>
      </c>
      <c r="D23">
        <v>31004.58</v>
      </c>
      <c r="E23">
        <v>32719.8</v>
      </c>
      <c r="F23">
        <v>29248.32</v>
      </c>
      <c r="G23">
        <v>23015.79</v>
      </c>
      <c r="H23">
        <v>29205.4</v>
      </c>
      <c r="I23">
        <v>34839.19</v>
      </c>
      <c r="J23">
        <v>42765</v>
      </c>
      <c r="K23">
        <v>47099</v>
      </c>
    </row>
    <row r="24" spans="1:11" s="6" customFormat="1" x14ac:dyDescent="0.35">
      <c r="A24" s="2" t="s">
        <v>19</v>
      </c>
      <c r="B24">
        <v>7149.38</v>
      </c>
      <c r="C24">
        <v>4610.2</v>
      </c>
      <c r="D24">
        <v>658.39</v>
      </c>
      <c r="E24">
        <v>1708.74</v>
      </c>
      <c r="F24">
        <v>3456.51</v>
      </c>
      <c r="G24">
        <v>-834.51</v>
      </c>
      <c r="H24">
        <v>1228.1199999999999</v>
      </c>
      <c r="I24">
        <v>4908.34</v>
      </c>
      <c r="J24">
        <v>-953</v>
      </c>
      <c r="K24">
        <v>-3429</v>
      </c>
    </row>
    <row r="25" spans="1:11" s="6" customFormat="1" x14ac:dyDescent="0.35">
      <c r="A25" s="6" t="s">
        <v>20</v>
      </c>
      <c r="B25">
        <v>-2669.62</v>
      </c>
      <c r="C25">
        <v>1869.1</v>
      </c>
      <c r="D25">
        <v>5932.73</v>
      </c>
      <c r="E25">
        <v>-26686.25</v>
      </c>
      <c r="F25">
        <v>101.71</v>
      </c>
      <c r="G25">
        <v>-11117.83</v>
      </c>
      <c r="H25">
        <v>2424.0500000000002</v>
      </c>
      <c r="I25">
        <v>6663.97</v>
      </c>
      <c r="J25">
        <v>4792</v>
      </c>
      <c r="K25">
        <v>11774</v>
      </c>
    </row>
    <row r="26" spans="1:11" s="6" customFormat="1" x14ac:dyDescent="0.35">
      <c r="A26" s="6" t="s">
        <v>21</v>
      </c>
      <c r="B26">
        <v>16710.78</v>
      </c>
      <c r="C26">
        <v>17904.990000000002</v>
      </c>
      <c r="D26">
        <v>21553.59</v>
      </c>
      <c r="E26">
        <v>23590.63</v>
      </c>
      <c r="F26">
        <v>21425.43</v>
      </c>
      <c r="G26">
        <v>23546.71</v>
      </c>
      <c r="H26">
        <v>24835.69</v>
      </c>
      <c r="I26">
        <v>24860.36</v>
      </c>
      <c r="J26">
        <v>27239</v>
      </c>
      <c r="K26">
        <v>23256</v>
      </c>
    </row>
    <row r="27" spans="1:11" s="6" customFormat="1" x14ac:dyDescent="0.35">
      <c r="A27" s="6" t="s">
        <v>22</v>
      </c>
      <c r="B27">
        <v>4889.08</v>
      </c>
      <c r="C27">
        <v>4238.01</v>
      </c>
      <c r="D27">
        <v>4681.79</v>
      </c>
      <c r="E27">
        <v>5758.6</v>
      </c>
      <c r="F27">
        <v>7243.33</v>
      </c>
      <c r="G27">
        <v>8097.17</v>
      </c>
      <c r="H27">
        <v>9311.86</v>
      </c>
      <c r="I27">
        <v>10225.48</v>
      </c>
      <c r="J27">
        <v>7594</v>
      </c>
      <c r="K27">
        <v>5083</v>
      </c>
    </row>
    <row r="28" spans="1:11" s="6" customFormat="1" x14ac:dyDescent="0.35">
      <c r="A28" s="6" t="s">
        <v>23</v>
      </c>
      <c r="B28">
        <v>14125.77</v>
      </c>
      <c r="C28">
        <v>9314.7900000000009</v>
      </c>
      <c r="D28">
        <v>11155.03</v>
      </c>
      <c r="E28">
        <v>-31371.15</v>
      </c>
      <c r="F28">
        <v>-10579.98</v>
      </c>
      <c r="G28">
        <v>-10474.280000000001</v>
      </c>
      <c r="H28">
        <v>-7003.41</v>
      </c>
      <c r="I28">
        <v>3393.93</v>
      </c>
      <c r="J28">
        <v>27783</v>
      </c>
      <c r="K28">
        <v>38651</v>
      </c>
    </row>
    <row r="29" spans="1:11" s="6" customFormat="1" x14ac:dyDescent="0.35">
      <c r="A29" s="6" t="s">
        <v>24</v>
      </c>
      <c r="B29">
        <v>3025.05</v>
      </c>
      <c r="C29">
        <v>3251.23</v>
      </c>
      <c r="D29">
        <v>4341.93</v>
      </c>
      <c r="E29">
        <v>-2437.4499999999998</v>
      </c>
      <c r="F29">
        <v>395.25</v>
      </c>
      <c r="G29">
        <v>2541.86</v>
      </c>
      <c r="H29">
        <v>4231.29</v>
      </c>
      <c r="I29">
        <v>704.06</v>
      </c>
      <c r="J29">
        <v>-4024</v>
      </c>
      <c r="K29">
        <v>10502</v>
      </c>
    </row>
    <row r="30" spans="1:11" s="6" customFormat="1" x14ac:dyDescent="0.35">
      <c r="A30" s="6" t="s">
        <v>25</v>
      </c>
      <c r="B30">
        <v>11579.31</v>
      </c>
      <c r="C30">
        <v>7454.36</v>
      </c>
      <c r="D30">
        <v>8988.91</v>
      </c>
      <c r="E30">
        <v>-28826.23</v>
      </c>
      <c r="F30">
        <v>-12070.85</v>
      </c>
      <c r="G30">
        <v>-13451.39</v>
      </c>
      <c r="H30">
        <v>-11441.47</v>
      </c>
      <c r="I30">
        <v>2414.29</v>
      </c>
      <c r="J30">
        <v>31399</v>
      </c>
      <c r="K30">
        <v>27830</v>
      </c>
    </row>
    <row r="31" spans="1:11" s="6" customFormat="1" x14ac:dyDescent="0.35">
      <c r="A31" s="6" t="s">
        <v>26</v>
      </c>
      <c r="B31">
        <v>67.92</v>
      </c>
      <c r="I31">
        <v>766.02</v>
      </c>
      <c r="J31">
        <v>2301</v>
      </c>
      <c r="K31">
        <v>2208</v>
      </c>
    </row>
    <row r="32" spans="1:11" s="6" customFormat="1" x14ac:dyDescent="0.35"/>
    <row r="33" spans="1:11" x14ac:dyDescent="0.35">
      <c r="A33" s="6"/>
    </row>
    <row r="34" spans="1:11" x14ac:dyDescent="0.35">
      <c r="A34" s="6"/>
    </row>
    <row r="35" spans="1:11" x14ac:dyDescent="0.35">
      <c r="A35" s="6"/>
    </row>
    <row r="36" spans="1:11" x14ac:dyDescent="0.35">
      <c r="A36" s="6"/>
    </row>
    <row r="37" spans="1:11" x14ac:dyDescent="0.35">
      <c r="A37" s="6"/>
    </row>
    <row r="38" spans="1:11" x14ac:dyDescent="0.35">
      <c r="A38" s="6"/>
    </row>
    <row r="39" spans="1:11" x14ac:dyDescent="0.35">
      <c r="A39" s="6"/>
    </row>
    <row r="40" spans="1:11" x14ac:dyDescent="0.35">
      <c r="A40" s="1" t="s">
        <v>27</v>
      </c>
    </row>
    <row r="41" spans="1:11" s="5" customFormat="1" x14ac:dyDescent="0.35">
      <c r="A41" s="3" t="s">
        <v>11</v>
      </c>
      <c r="B41" s="4">
        <v>44926</v>
      </c>
      <c r="C41" s="4">
        <v>45016</v>
      </c>
      <c r="D41" s="4">
        <v>45107</v>
      </c>
      <c r="E41" s="4">
        <v>45199</v>
      </c>
      <c r="F41" s="4">
        <v>45291</v>
      </c>
      <c r="G41" s="4">
        <v>45382</v>
      </c>
      <c r="H41" s="4">
        <v>45473</v>
      </c>
      <c r="I41" s="4">
        <v>45565</v>
      </c>
      <c r="J41" s="4">
        <v>45657</v>
      </c>
      <c r="K41" s="4">
        <v>45747</v>
      </c>
    </row>
    <row r="42" spans="1:11" s="6" customFormat="1" x14ac:dyDescent="0.35">
      <c r="A42" s="6" t="s">
        <v>12</v>
      </c>
      <c r="B42">
        <v>88488.59</v>
      </c>
      <c r="C42">
        <v>105932.35</v>
      </c>
      <c r="D42">
        <v>102236</v>
      </c>
      <c r="E42">
        <v>105129</v>
      </c>
      <c r="F42">
        <v>110577</v>
      </c>
      <c r="G42">
        <v>119033</v>
      </c>
      <c r="H42">
        <v>108048</v>
      </c>
      <c r="I42">
        <v>101450</v>
      </c>
      <c r="J42">
        <v>112608</v>
      </c>
      <c r="K42">
        <v>119503</v>
      </c>
    </row>
    <row r="43" spans="1:11" s="6" customFormat="1" x14ac:dyDescent="0.35">
      <c r="A43" s="6" t="s">
        <v>28</v>
      </c>
      <c r="B43">
        <v>77668.350000000006</v>
      </c>
      <c r="C43">
        <v>92817.95</v>
      </c>
      <c r="D43">
        <v>89019</v>
      </c>
      <c r="E43">
        <v>91362</v>
      </c>
      <c r="F43">
        <v>95159</v>
      </c>
      <c r="G43">
        <v>102348</v>
      </c>
      <c r="H43">
        <v>92263</v>
      </c>
      <c r="I43">
        <v>89291</v>
      </c>
      <c r="J43">
        <v>100185</v>
      </c>
      <c r="K43">
        <v>102685</v>
      </c>
    </row>
    <row r="44" spans="1:11" s="6" customFormat="1" x14ac:dyDescent="0.35">
      <c r="A44" s="6" t="s">
        <v>20</v>
      </c>
      <c r="B44">
        <v>1129.98</v>
      </c>
      <c r="C44">
        <v>1452.86</v>
      </c>
      <c r="D44">
        <v>895</v>
      </c>
      <c r="E44">
        <v>1557</v>
      </c>
      <c r="F44">
        <v>1604</v>
      </c>
      <c r="G44">
        <v>1412</v>
      </c>
      <c r="H44">
        <v>1747</v>
      </c>
      <c r="I44">
        <v>1647</v>
      </c>
      <c r="J44">
        <v>1700</v>
      </c>
      <c r="K44">
        <v>1057</v>
      </c>
    </row>
    <row r="45" spans="1:11" s="6" customFormat="1" x14ac:dyDescent="0.35">
      <c r="A45" s="6" t="s">
        <v>21</v>
      </c>
      <c r="B45">
        <v>6071.78</v>
      </c>
      <c r="C45">
        <v>7050.2</v>
      </c>
      <c r="D45">
        <v>6633</v>
      </c>
      <c r="E45">
        <v>6637</v>
      </c>
      <c r="F45">
        <v>6850</v>
      </c>
      <c r="G45">
        <v>7143</v>
      </c>
      <c r="H45">
        <v>6574</v>
      </c>
      <c r="I45">
        <v>6005</v>
      </c>
      <c r="J45">
        <v>5399</v>
      </c>
      <c r="K45">
        <v>5295</v>
      </c>
    </row>
    <row r="46" spans="1:11" s="6" customFormat="1" x14ac:dyDescent="0.35">
      <c r="A46" s="6" t="s">
        <v>22</v>
      </c>
      <c r="B46">
        <v>2675.83</v>
      </c>
      <c r="C46">
        <v>2641.67</v>
      </c>
      <c r="D46">
        <v>2615</v>
      </c>
      <c r="E46">
        <v>2652</v>
      </c>
      <c r="F46">
        <v>2485</v>
      </c>
      <c r="G46">
        <v>1645</v>
      </c>
      <c r="H46">
        <v>2088</v>
      </c>
      <c r="I46">
        <v>2034</v>
      </c>
      <c r="J46">
        <v>1119</v>
      </c>
      <c r="K46">
        <v>1076</v>
      </c>
    </row>
    <row r="47" spans="1:11" s="6" customFormat="1" x14ac:dyDescent="0.35">
      <c r="A47" s="6" t="s">
        <v>23</v>
      </c>
      <c r="B47">
        <v>3202.61</v>
      </c>
      <c r="C47">
        <v>4875.3900000000003</v>
      </c>
      <c r="D47">
        <v>4864</v>
      </c>
      <c r="E47">
        <v>6035</v>
      </c>
      <c r="F47">
        <v>7687</v>
      </c>
      <c r="G47">
        <v>9309</v>
      </c>
      <c r="H47">
        <v>8870</v>
      </c>
      <c r="I47">
        <v>5767</v>
      </c>
      <c r="J47">
        <v>7605</v>
      </c>
      <c r="K47">
        <v>11504</v>
      </c>
    </row>
    <row r="48" spans="1:11" s="6" customFormat="1" x14ac:dyDescent="0.35">
      <c r="A48" s="6" t="s">
        <v>24</v>
      </c>
      <c r="B48">
        <v>262.83</v>
      </c>
      <c r="C48">
        <v>-620.65</v>
      </c>
      <c r="D48">
        <v>1563</v>
      </c>
      <c r="E48">
        <v>2203</v>
      </c>
      <c r="F48">
        <v>542</v>
      </c>
      <c r="G48">
        <v>-8219</v>
      </c>
      <c r="H48">
        <v>3178</v>
      </c>
      <c r="I48">
        <v>2317</v>
      </c>
      <c r="J48">
        <v>2120</v>
      </c>
      <c r="K48">
        <v>2948</v>
      </c>
    </row>
    <row r="49" spans="1:11" s="6" customFormat="1" x14ac:dyDescent="0.35">
      <c r="A49" s="6" t="s">
        <v>25</v>
      </c>
      <c r="B49">
        <v>2957.71</v>
      </c>
      <c r="C49">
        <v>5407.79</v>
      </c>
      <c r="D49">
        <v>3203</v>
      </c>
      <c r="E49">
        <v>3764</v>
      </c>
      <c r="F49">
        <v>7025</v>
      </c>
      <c r="G49">
        <v>17407</v>
      </c>
      <c r="H49">
        <v>5566</v>
      </c>
      <c r="I49">
        <v>3343</v>
      </c>
      <c r="J49">
        <v>5406</v>
      </c>
      <c r="K49">
        <v>8470</v>
      </c>
    </row>
    <row r="50" spans="1:11" x14ac:dyDescent="0.35">
      <c r="A50" s="6" t="s">
        <v>29</v>
      </c>
      <c r="B50">
        <v>10820.24</v>
      </c>
      <c r="C50">
        <v>13114.4</v>
      </c>
      <c r="D50">
        <v>13217</v>
      </c>
      <c r="E50">
        <v>13767</v>
      </c>
      <c r="F50">
        <v>15418</v>
      </c>
      <c r="G50">
        <v>16685</v>
      </c>
      <c r="H50">
        <v>15785</v>
      </c>
      <c r="I50">
        <v>12159</v>
      </c>
      <c r="J50">
        <v>12423</v>
      </c>
      <c r="K50">
        <v>16818</v>
      </c>
    </row>
    <row r="51" spans="1:11" x14ac:dyDescent="0.35">
      <c r="A51" s="6"/>
    </row>
    <row r="52" spans="1:11" x14ac:dyDescent="0.35">
      <c r="A52" s="6"/>
    </row>
    <row r="53" spans="1:11" x14ac:dyDescent="0.35">
      <c r="A53" s="6"/>
    </row>
    <row r="54" spans="1:11" x14ac:dyDescent="0.35">
      <c r="A54" s="6"/>
    </row>
    <row r="55" spans="1:11" x14ac:dyDescent="0.35">
      <c r="A55" s="1" t="s">
        <v>30</v>
      </c>
    </row>
    <row r="56" spans="1:11" s="5" customFormat="1" x14ac:dyDescent="0.35">
      <c r="A56" s="3" t="s">
        <v>11</v>
      </c>
      <c r="B56" s="4">
        <v>42460</v>
      </c>
      <c r="C56" s="4">
        <v>42825</v>
      </c>
      <c r="D56" s="4">
        <v>43190</v>
      </c>
      <c r="E56" s="4">
        <v>43555</v>
      </c>
      <c r="F56" s="4">
        <v>43921</v>
      </c>
      <c r="G56" s="4">
        <v>44286</v>
      </c>
      <c r="H56" s="4">
        <v>44651</v>
      </c>
      <c r="I56" s="4">
        <v>45016</v>
      </c>
      <c r="J56" s="4">
        <v>45382</v>
      </c>
      <c r="K56" s="4">
        <v>45747</v>
      </c>
    </row>
    <row r="57" spans="1:11" x14ac:dyDescent="0.35">
      <c r="A57" s="6" t="s">
        <v>31</v>
      </c>
      <c r="B57">
        <v>679.18</v>
      </c>
      <c r="C57">
        <v>679.22</v>
      </c>
      <c r="D57">
        <v>679.22</v>
      </c>
      <c r="E57">
        <v>679.22</v>
      </c>
      <c r="F57">
        <v>719.54</v>
      </c>
      <c r="G57">
        <v>765.81</v>
      </c>
      <c r="H57">
        <v>765.88</v>
      </c>
      <c r="I57">
        <v>766.02</v>
      </c>
      <c r="J57">
        <v>767</v>
      </c>
      <c r="K57">
        <v>736</v>
      </c>
    </row>
    <row r="58" spans="1:11" x14ac:dyDescent="0.35">
      <c r="A58" s="6" t="s">
        <v>32</v>
      </c>
      <c r="B58">
        <v>78273.23</v>
      </c>
      <c r="C58">
        <v>57382.67</v>
      </c>
      <c r="D58">
        <v>94748.69</v>
      </c>
      <c r="E58">
        <v>59500.34</v>
      </c>
      <c r="F58">
        <v>62358.99</v>
      </c>
      <c r="G58">
        <v>54480.91</v>
      </c>
      <c r="H58">
        <v>43795.360000000001</v>
      </c>
      <c r="I58">
        <v>44555.77</v>
      </c>
      <c r="J58">
        <v>84151</v>
      </c>
      <c r="K58">
        <v>115408</v>
      </c>
    </row>
    <row r="59" spans="1:11" x14ac:dyDescent="0.35">
      <c r="A59" s="6" t="s">
        <v>33</v>
      </c>
      <c r="B59">
        <v>69359.960000000006</v>
      </c>
      <c r="C59">
        <v>78603.98</v>
      </c>
      <c r="D59">
        <v>88950.47</v>
      </c>
      <c r="E59">
        <v>106175.34</v>
      </c>
      <c r="F59">
        <v>124787.64</v>
      </c>
      <c r="G59">
        <v>142130.57</v>
      </c>
      <c r="H59">
        <v>146449.03</v>
      </c>
      <c r="I59">
        <v>134113.44</v>
      </c>
      <c r="J59">
        <v>107264</v>
      </c>
      <c r="K59">
        <v>71540</v>
      </c>
    </row>
    <row r="60" spans="1:11" x14ac:dyDescent="0.35">
      <c r="A60" s="6" t="s">
        <v>34</v>
      </c>
      <c r="B60">
        <v>114871.75</v>
      </c>
      <c r="C60">
        <v>135914.49</v>
      </c>
      <c r="D60">
        <v>142813.43</v>
      </c>
      <c r="E60">
        <v>139348.59</v>
      </c>
      <c r="F60">
        <v>132313.22</v>
      </c>
      <c r="G60">
        <v>144192.62</v>
      </c>
      <c r="H60">
        <v>138051.22</v>
      </c>
      <c r="I60">
        <v>155239.20000000001</v>
      </c>
      <c r="J60">
        <v>177339</v>
      </c>
      <c r="K60">
        <v>189289</v>
      </c>
    </row>
    <row r="61" spans="1:11" s="1" customFormat="1" x14ac:dyDescent="0.35">
      <c r="A61" s="1" t="s">
        <v>35</v>
      </c>
      <c r="B61">
        <v>263184.12</v>
      </c>
      <c r="C61">
        <v>272580.36</v>
      </c>
      <c r="D61">
        <v>327191.81</v>
      </c>
      <c r="E61">
        <v>305703.49</v>
      </c>
      <c r="F61">
        <v>320179.39</v>
      </c>
      <c r="G61">
        <v>341569.91</v>
      </c>
      <c r="H61">
        <v>329061.49</v>
      </c>
      <c r="I61">
        <v>334674.43</v>
      </c>
      <c r="J61">
        <v>369521</v>
      </c>
      <c r="K61">
        <v>376973</v>
      </c>
    </row>
    <row r="62" spans="1:11" x14ac:dyDescent="0.35">
      <c r="A62" s="6" t="s">
        <v>36</v>
      </c>
      <c r="B62">
        <v>107231.76</v>
      </c>
      <c r="C62">
        <v>95944.08</v>
      </c>
      <c r="D62">
        <v>121413.86</v>
      </c>
      <c r="E62">
        <v>111234.47</v>
      </c>
      <c r="F62">
        <v>127107.14</v>
      </c>
      <c r="G62">
        <v>138707.60999999999</v>
      </c>
      <c r="H62">
        <v>138855.45000000001</v>
      </c>
      <c r="I62">
        <v>132079.76</v>
      </c>
      <c r="J62">
        <v>121285</v>
      </c>
      <c r="K62">
        <v>115697</v>
      </c>
    </row>
    <row r="63" spans="1:11" x14ac:dyDescent="0.35">
      <c r="A63" s="6" t="s">
        <v>37</v>
      </c>
      <c r="B63">
        <v>25918.94</v>
      </c>
      <c r="C63">
        <v>33698.839999999997</v>
      </c>
      <c r="D63">
        <v>40033.5</v>
      </c>
      <c r="E63">
        <v>31883.84</v>
      </c>
      <c r="F63">
        <v>35622.29</v>
      </c>
      <c r="G63">
        <v>20963.93</v>
      </c>
      <c r="H63">
        <v>10251.09</v>
      </c>
      <c r="I63">
        <v>14274.5</v>
      </c>
      <c r="J63">
        <v>35698</v>
      </c>
      <c r="K63">
        <v>65806</v>
      </c>
    </row>
    <row r="64" spans="1:11" x14ac:dyDescent="0.35">
      <c r="A64" s="6" t="s">
        <v>38</v>
      </c>
      <c r="B64">
        <v>23767.02</v>
      </c>
      <c r="C64">
        <v>20337.919999999998</v>
      </c>
      <c r="D64">
        <v>20812.75</v>
      </c>
      <c r="E64">
        <v>15770.72</v>
      </c>
      <c r="F64">
        <v>16308.48</v>
      </c>
      <c r="G64">
        <v>24620.28</v>
      </c>
      <c r="H64">
        <v>29379.53</v>
      </c>
      <c r="I64">
        <v>26379.16</v>
      </c>
      <c r="J64">
        <v>22971</v>
      </c>
      <c r="K64">
        <v>35656</v>
      </c>
    </row>
    <row r="65" spans="1:11" x14ac:dyDescent="0.35">
      <c r="A65" s="6" t="s">
        <v>39</v>
      </c>
      <c r="B65">
        <v>106266.4</v>
      </c>
      <c r="C65">
        <v>122599.52</v>
      </c>
      <c r="D65">
        <v>144931.70000000001</v>
      </c>
      <c r="E65">
        <v>146814.46</v>
      </c>
      <c r="F65">
        <v>141141.48000000001</v>
      </c>
      <c r="G65">
        <v>157278.09</v>
      </c>
      <c r="H65">
        <v>150575.42000000001</v>
      </c>
      <c r="I65">
        <v>161941.01</v>
      </c>
      <c r="J65">
        <v>189567</v>
      </c>
      <c r="K65">
        <v>159814</v>
      </c>
    </row>
    <row r="66" spans="1:11" s="1" customFormat="1" x14ac:dyDescent="0.35">
      <c r="A66" s="1" t="s">
        <v>35</v>
      </c>
      <c r="B66">
        <v>263184.12</v>
      </c>
      <c r="C66">
        <v>272580.36</v>
      </c>
      <c r="D66">
        <v>327191.81</v>
      </c>
      <c r="E66">
        <v>305703.49</v>
      </c>
      <c r="F66">
        <v>320179.39</v>
      </c>
      <c r="G66">
        <v>341569.91</v>
      </c>
      <c r="H66">
        <v>329061.49</v>
      </c>
      <c r="I66">
        <v>334674.43</v>
      </c>
      <c r="J66">
        <v>369521</v>
      </c>
      <c r="K66">
        <v>376973</v>
      </c>
    </row>
    <row r="67" spans="1:11" s="6" customFormat="1" x14ac:dyDescent="0.35">
      <c r="A67" s="6" t="s">
        <v>40</v>
      </c>
      <c r="B67">
        <v>13570.91</v>
      </c>
      <c r="C67">
        <v>14075.55</v>
      </c>
      <c r="D67">
        <v>19893.3</v>
      </c>
      <c r="E67">
        <v>18996.169999999998</v>
      </c>
      <c r="F67">
        <v>11172.69</v>
      </c>
      <c r="G67">
        <v>12679.08</v>
      </c>
      <c r="H67">
        <v>12442.12</v>
      </c>
      <c r="I67">
        <v>15737.97</v>
      </c>
      <c r="J67">
        <v>16952</v>
      </c>
      <c r="K67">
        <v>13248</v>
      </c>
    </row>
    <row r="68" spans="1:11" x14ac:dyDescent="0.35">
      <c r="A68" s="6" t="s">
        <v>41</v>
      </c>
      <c r="B68">
        <v>32655.73</v>
      </c>
      <c r="C68">
        <v>35085.31</v>
      </c>
      <c r="D68">
        <v>42137.63</v>
      </c>
      <c r="E68">
        <v>39013.730000000003</v>
      </c>
      <c r="F68">
        <v>37456.879999999997</v>
      </c>
      <c r="G68">
        <v>36088.589999999997</v>
      </c>
      <c r="H68">
        <v>35240.339999999997</v>
      </c>
      <c r="I68">
        <v>40755.39</v>
      </c>
      <c r="J68">
        <v>47788</v>
      </c>
      <c r="K68">
        <v>47269</v>
      </c>
    </row>
    <row r="69" spans="1:11" x14ac:dyDescent="0.35">
      <c r="A69" s="2" t="s">
        <v>42</v>
      </c>
      <c r="B69">
        <v>30460.400000000001</v>
      </c>
      <c r="C69">
        <v>36077.879999999997</v>
      </c>
      <c r="D69">
        <v>34613.910000000003</v>
      </c>
      <c r="E69">
        <v>32648.82</v>
      </c>
      <c r="F69">
        <v>33726.97</v>
      </c>
      <c r="G69">
        <v>46792.46</v>
      </c>
      <c r="H69">
        <v>40669.19</v>
      </c>
      <c r="I69">
        <v>37015.56</v>
      </c>
      <c r="J69">
        <v>45807</v>
      </c>
      <c r="K69">
        <v>40834</v>
      </c>
    </row>
    <row r="70" spans="1:11" x14ac:dyDescent="0.35">
      <c r="A70" s="2" t="s">
        <v>43</v>
      </c>
      <c r="B70">
        <v>3395930306</v>
      </c>
      <c r="C70">
        <v>3396100719</v>
      </c>
      <c r="D70">
        <v>3396100719</v>
      </c>
      <c r="E70">
        <v>3396100719</v>
      </c>
      <c r="F70">
        <v>3597726185</v>
      </c>
      <c r="G70">
        <v>3829060661</v>
      </c>
      <c r="H70">
        <v>3829414903</v>
      </c>
      <c r="I70">
        <v>3830097221</v>
      </c>
      <c r="J70">
        <v>3832491897</v>
      </c>
      <c r="K70">
        <v>3681348742</v>
      </c>
    </row>
    <row r="71" spans="1:11" x14ac:dyDescent="0.35">
      <c r="A71" s="2" t="s">
        <v>44</v>
      </c>
    </row>
    <row r="72" spans="1:11" x14ac:dyDescent="0.35">
      <c r="A72" s="2" t="s">
        <v>45</v>
      </c>
      <c r="B72">
        <v>2</v>
      </c>
      <c r="C72">
        <v>2</v>
      </c>
      <c r="D72">
        <v>2</v>
      </c>
      <c r="E72">
        <v>2</v>
      </c>
      <c r="F72">
        <v>2</v>
      </c>
      <c r="G72">
        <v>2</v>
      </c>
      <c r="H72">
        <v>2</v>
      </c>
      <c r="I72">
        <v>2</v>
      </c>
      <c r="J72">
        <v>2</v>
      </c>
      <c r="K72">
        <v>2</v>
      </c>
    </row>
    <row r="74" spans="1:11" x14ac:dyDescent="0.35">
      <c r="A74" s="6"/>
    </row>
    <row r="75" spans="1:11" x14ac:dyDescent="0.35">
      <c r="A75" s="6"/>
    </row>
    <row r="76" spans="1:11" x14ac:dyDescent="0.35">
      <c r="A76" s="6"/>
    </row>
    <row r="77" spans="1:11" x14ac:dyDescent="0.35">
      <c r="A77" s="6"/>
    </row>
    <row r="78" spans="1:11" x14ac:dyDescent="0.35">
      <c r="A78" s="6"/>
    </row>
    <row r="79" spans="1:11" x14ac:dyDescent="0.35">
      <c r="A79" s="6"/>
    </row>
    <row r="80" spans="1:11" x14ac:dyDescent="0.35">
      <c r="A80" s="1" t="s">
        <v>46</v>
      </c>
    </row>
    <row r="81" spans="1:11" s="5" customFormat="1" x14ac:dyDescent="0.35">
      <c r="A81" s="3" t="s">
        <v>11</v>
      </c>
      <c r="B81" s="4">
        <v>42460</v>
      </c>
      <c r="C81" s="4">
        <v>42825</v>
      </c>
      <c r="D81" s="4">
        <v>43190</v>
      </c>
      <c r="E81" s="4">
        <v>43555</v>
      </c>
      <c r="F81" s="4">
        <v>43921</v>
      </c>
      <c r="G81" s="4">
        <v>44286</v>
      </c>
      <c r="H81" s="4">
        <v>44651</v>
      </c>
      <c r="I81" s="4">
        <v>45016</v>
      </c>
      <c r="J81" s="4">
        <v>45382</v>
      </c>
      <c r="K81" s="4">
        <v>45747</v>
      </c>
    </row>
    <row r="82" spans="1:11" s="1" customFormat="1" x14ac:dyDescent="0.35">
      <c r="A82" s="6" t="s">
        <v>47</v>
      </c>
      <c r="B82">
        <v>37899.54</v>
      </c>
      <c r="C82">
        <v>30199.25</v>
      </c>
      <c r="D82">
        <v>23857.42</v>
      </c>
      <c r="E82">
        <v>18890.75</v>
      </c>
      <c r="F82">
        <v>26632.94</v>
      </c>
      <c r="G82">
        <v>29000.51</v>
      </c>
      <c r="H82">
        <v>14282.83</v>
      </c>
      <c r="I82">
        <v>35388.01</v>
      </c>
      <c r="J82">
        <v>67915</v>
      </c>
      <c r="K82">
        <v>63102</v>
      </c>
    </row>
    <row r="83" spans="1:11" s="6" customFormat="1" x14ac:dyDescent="0.35">
      <c r="A83" s="6" t="s">
        <v>48</v>
      </c>
      <c r="B83">
        <v>-36693.9</v>
      </c>
      <c r="C83">
        <v>-39571.4</v>
      </c>
      <c r="D83">
        <v>-25139.14</v>
      </c>
      <c r="E83">
        <v>-20878.07</v>
      </c>
      <c r="F83">
        <v>-33114.550000000003</v>
      </c>
      <c r="G83">
        <v>-25672.5</v>
      </c>
      <c r="H83">
        <v>-4443.66</v>
      </c>
      <c r="I83">
        <v>-15417.17</v>
      </c>
      <c r="J83">
        <v>-22781</v>
      </c>
      <c r="K83">
        <v>-49982</v>
      </c>
    </row>
    <row r="84" spans="1:11" s="6" customFormat="1" x14ac:dyDescent="0.35">
      <c r="A84" s="6" t="s">
        <v>49</v>
      </c>
      <c r="B84">
        <v>-3795.12</v>
      </c>
      <c r="C84">
        <v>6205.3</v>
      </c>
      <c r="D84">
        <v>2011.71</v>
      </c>
      <c r="E84">
        <v>8830.3700000000008</v>
      </c>
      <c r="F84">
        <v>3389.61</v>
      </c>
      <c r="G84">
        <v>9904.2000000000007</v>
      </c>
      <c r="H84">
        <v>-3380.17</v>
      </c>
      <c r="I84">
        <v>-26242.9</v>
      </c>
      <c r="J84">
        <v>-37006</v>
      </c>
      <c r="K84">
        <v>-18786</v>
      </c>
    </row>
    <row r="85" spans="1:11" s="1" customFormat="1" x14ac:dyDescent="0.35">
      <c r="A85" s="6" t="s">
        <v>50</v>
      </c>
      <c r="B85">
        <v>-2589.48</v>
      </c>
      <c r="C85">
        <v>-3166.85</v>
      </c>
      <c r="D85">
        <v>729.99</v>
      </c>
      <c r="E85">
        <v>6843.05</v>
      </c>
      <c r="F85">
        <v>-3092</v>
      </c>
      <c r="G85">
        <v>13232.21</v>
      </c>
      <c r="H85">
        <v>6459</v>
      </c>
      <c r="I85">
        <v>-6272.06</v>
      </c>
      <c r="J85">
        <v>8128</v>
      </c>
      <c r="K85">
        <v>-5666</v>
      </c>
    </row>
    <row r="86" spans="1:11" x14ac:dyDescent="0.35">
      <c r="A86" s="6"/>
    </row>
    <row r="87" spans="1:11" x14ac:dyDescent="0.35">
      <c r="A87" s="6"/>
    </row>
    <row r="88" spans="1:11" x14ac:dyDescent="0.35">
      <c r="A88" s="6"/>
    </row>
    <row r="89" spans="1:11" x14ac:dyDescent="0.35">
      <c r="A89" s="6"/>
    </row>
    <row r="90" spans="1:11" s="1" customFormat="1" x14ac:dyDescent="0.35">
      <c r="A90" s="1" t="s">
        <v>51</v>
      </c>
      <c r="B90">
        <v>386.6</v>
      </c>
      <c r="C90">
        <v>465.85</v>
      </c>
      <c r="D90">
        <v>326.85000000000002</v>
      </c>
      <c r="E90">
        <v>174.25</v>
      </c>
      <c r="F90">
        <v>71.05</v>
      </c>
      <c r="G90">
        <v>301.8</v>
      </c>
      <c r="H90">
        <v>433.75</v>
      </c>
      <c r="I90">
        <v>420.8</v>
      </c>
      <c r="J90">
        <v>992.8</v>
      </c>
      <c r="K90">
        <v>674.45</v>
      </c>
    </row>
    <row r="92" spans="1:11" s="1" customFormat="1" x14ac:dyDescent="0.35">
      <c r="A92" s="1" t="s">
        <v>52</v>
      </c>
    </row>
    <row r="93" spans="1:11" x14ac:dyDescent="0.35">
      <c r="A93" s="2" t="s">
        <v>53</v>
      </c>
      <c r="B93" s="7">
        <v>288.72000000000003</v>
      </c>
      <c r="C93" s="7">
        <v>288.73</v>
      </c>
      <c r="D93" s="7">
        <v>288.73</v>
      </c>
      <c r="E93" s="7">
        <v>288.73</v>
      </c>
      <c r="F93" s="7">
        <v>308.89999999999998</v>
      </c>
      <c r="G93" s="7">
        <v>332.03</v>
      </c>
      <c r="H93" s="7">
        <v>332.07</v>
      </c>
      <c r="I93" s="7">
        <v>332.13</v>
      </c>
      <c r="J93" s="7">
        <v>332.37</v>
      </c>
      <c r="K93" s="7">
        <v>368.13</v>
      </c>
    </row>
  </sheetData>
  <mergeCells count="2">
    <mergeCell ref="E1:K1"/>
    <mergeCell ref="E2:K2"/>
  </mergeCells>
  <conditionalFormatting sqref="E1:K1">
    <cfRule type="cellIs" dxfId="0" priority="1" operator="notEqual">
      <formula>""</formula>
    </cfRule>
  </conditionalFormatting>
  <hyperlinks>
    <hyperlink ref="E1:K1" r:id="rId1" display="https://www.screener.in/excel/"/>
  </hyperlinks>
  <pageMargins left="0.7" right="0.7" top="0.75" bottom="0.75" header="0.3" footer="0.3"/>
  <pageSetup paperSize="9"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33"/>
  <sheetViews>
    <sheetView topLeftCell="A17" workbookViewId="0">
      <selection activeCell="B25" sqref="B25"/>
    </sheetView>
  </sheetViews>
  <sheetFormatPr defaultRowHeight="14.5" x14ac:dyDescent="0.35"/>
  <cols>
    <col min="1" max="1" width="8.7265625" style="8"/>
    <col min="2" max="2" width="29.36328125" style="8" customWidth="1"/>
    <col min="3" max="16384" width="8.7265625" style="8"/>
  </cols>
  <sheetData>
    <row r="1" spans="2:14" ht="15.5" x14ac:dyDescent="0.35">
      <c r="B1" s="66" t="s">
        <v>166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</row>
    <row r="2" spans="2:14" x14ac:dyDescent="0.35">
      <c r="B2" s="58"/>
      <c r="C2" s="60">
        <v>41699</v>
      </c>
      <c r="D2" s="60">
        <v>42064</v>
      </c>
      <c r="E2" s="59">
        <v>42430</v>
      </c>
      <c r="F2" s="59">
        <v>42795</v>
      </c>
      <c r="G2" s="59">
        <v>43160</v>
      </c>
      <c r="H2" s="59">
        <v>43525</v>
      </c>
      <c r="I2" s="59">
        <v>43891</v>
      </c>
      <c r="J2" s="59">
        <v>44256</v>
      </c>
      <c r="K2" s="59">
        <v>44621</v>
      </c>
      <c r="L2" s="59">
        <v>44986</v>
      </c>
      <c r="M2" s="59">
        <v>45352</v>
      </c>
      <c r="N2" s="59">
        <v>45717</v>
      </c>
    </row>
    <row r="3" spans="2:14" x14ac:dyDescent="0.35">
      <c r="B3" s="11" t="s">
        <v>114</v>
      </c>
      <c r="C3" s="61">
        <v>36151</v>
      </c>
      <c r="D3" s="61">
        <v>35531</v>
      </c>
      <c r="E3" s="56">
        <v>37900</v>
      </c>
      <c r="F3" s="56">
        <v>30199</v>
      </c>
      <c r="G3" s="56">
        <v>23857</v>
      </c>
      <c r="H3" s="56">
        <v>18891</v>
      </c>
      <c r="I3" s="56">
        <v>26633</v>
      </c>
      <c r="J3" s="56">
        <v>29001</v>
      </c>
      <c r="K3" s="56">
        <v>14283</v>
      </c>
      <c r="L3" s="56">
        <v>35388</v>
      </c>
      <c r="M3" s="56">
        <v>67915</v>
      </c>
      <c r="N3" s="56">
        <v>63102</v>
      </c>
    </row>
    <row r="4" spans="2:14" x14ac:dyDescent="0.35">
      <c r="B4" s="8" t="s">
        <v>89</v>
      </c>
      <c r="C4" s="61">
        <v>36303</v>
      </c>
      <c r="D4" s="61">
        <v>43397</v>
      </c>
      <c r="E4" s="56">
        <v>38626</v>
      </c>
      <c r="F4" s="56">
        <v>28840</v>
      </c>
      <c r="G4" s="56">
        <v>33312</v>
      </c>
      <c r="H4" s="56">
        <v>28771</v>
      </c>
      <c r="I4" s="56">
        <v>23352</v>
      </c>
      <c r="J4" s="56">
        <v>31198</v>
      </c>
      <c r="K4" s="56">
        <v>26943</v>
      </c>
      <c r="L4" s="56">
        <v>41694</v>
      </c>
      <c r="M4" s="56">
        <v>65106</v>
      </c>
      <c r="N4" s="56">
        <v>58937</v>
      </c>
    </row>
    <row r="5" spans="2:14" x14ac:dyDescent="0.35">
      <c r="B5" s="8" t="s">
        <v>40</v>
      </c>
      <c r="C5" s="62">
        <v>445</v>
      </c>
      <c r="D5" s="61">
        <v>-3179</v>
      </c>
      <c r="E5" s="56">
        <v>-2223</v>
      </c>
      <c r="F5" s="56">
        <v>-4152</v>
      </c>
      <c r="G5" s="56">
        <v>-10688</v>
      </c>
      <c r="H5" s="56">
        <v>-9109</v>
      </c>
      <c r="I5" s="56">
        <v>9950</v>
      </c>
      <c r="J5" s="56">
        <v>-5505</v>
      </c>
      <c r="K5" s="8">
        <v>185</v>
      </c>
      <c r="L5" s="56">
        <v>-2213</v>
      </c>
      <c r="M5" s="56">
        <v>-1876</v>
      </c>
      <c r="N5" s="56">
        <v>3573</v>
      </c>
    </row>
    <row r="6" spans="2:14" x14ac:dyDescent="0.35">
      <c r="B6" s="8" t="s">
        <v>41</v>
      </c>
      <c r="C6" s="61">
        <v>-2853</v>
      </c>
      <c r="D6" s="61">
        <v>-3692</v>
      </c>
      <c r="E6" s="56">
        <v>-5743</v>
      </c>
      <c r="F6" s="56">
        <v>-6621</v>
      </c>
      <c r="G6" s="56">
        <v>-3560</v>
      </c>
      <c r="H6" s="56">
        <v>2069</v>
      </c>
      <c r="I6" s="56">
        <v>2326</v>
      </c>
      <c r="J6" s="56">
        <v>3814</v>
      </c>
      <c r="K6" s="8">
        <v>472</v>
      </c>
      <c r="L6" s="56">
        <v>-5665</v>
      </c>
      <c r="M6" s="56">
        <v>-7265</v>
      </c>
      <c r="N6" s="56">
        <v>2127</v>
      </c>
    </row>
    <row r="7" spans="2:14" x14ac:dyDescent="0.35">
      <c r="B7" s="8" t="s">
        <v>90</v>
      </c>
      <c r="C7" s="61">
        <v>4694</v>
      </c>
      <c r="D7" s="61">
        <v>3598</v>
      </c>
      <c r="E7" s="56">
        <v>3947</v>
      </c>
      <c r="F7" s="56">
        <v>9301</v>
      </c>
      <c r="G7" s="56">
        <v>7320</v>
      </c>
      <c r="H7" s="56">
        <v>-4692</v>
      </c>
      <c r="I7" s="56">
        <v>-8085</v>
      </c>
      <c r="J7" s="56">
        <v>5748</v>
      </c>
      <c r="K7" s="56">
        <v>-7012</v>
      </c>
      <c r="L7" s="56">
        <v>6945</v>
      </c>
      <c r="M7" s="56">
        <v>13706</v>
      </c>
      <c r="N7" s="56">
        <v>1303</v>
      </c>
    </row>
    <row r="8" spans="2:14" x14ac:dyDescent="0.35">
      <c r="B8" s="8" t="s">
        <v>91</v>
      </c>
      <c r="C8" s="62">
        <v>0</v>
      </c>
      <c r="D8" s="62">
        <v>0</v>
      </c>
      <c r="E8" s="8">
        <v>-520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56">
        <v>0</v>
      </c>
    </row>
    <row r="9" spans="2:14" x14ac:dyDescent="0.35">
      <c r="B9" s="8" t="s">
        <v>92</v>
      </c>
      <c r="C9" s="61"/>
      <c r="D9" s="62"/>
      <c r="E9" s="56"/>
      <c r="F9" s="56"/>
      <c r="H9" s="56"/>
      <c r="J9" s="56"/>
      <c r="K9" s="56"/>
      <c r="L9" s="56"/>
      <c r="M9" s="56"/>
      <c r="N9" s="56"/>
    </row>
    <row r="10" spans="2:14" x14ac:dyDescent="0.35">
      <c r="B10" s="8" t="s">
        <v>93</v>
      </c>
      <c r="C10" s="61">
        <v>4157</v>
      </c>
      <c r="D10" s="61">
        <v>-3672</v>
      </c>
      <c r="E10" s="56">
        <v>1313</v>
      </c>
      <c r="F10" s="56">
        <v>3254</v>
      </c>
      <c r="G10" s="56">
        <v>-6434</v>
      </c>
      <c r="H10" s="56">
        <v>-7221</v>
      </c>
      <c r="I10" s="56">
        <v>5065</v>
      </c>
      <c r="J10" s="8">
        <v>-93</v>
      </c>
      <c r="K10" s="56">
        <v>-10750</v>
      </c>
      <c r="L10" s="56">
        <v>-3127</v>
      </c>
      <c r="M10" s="56">
        <v>7325</v>
      </c>
      <c r="N10" s="56">
        <v>8156</v>
      </c>
    </row>
    <row r="11" spans="2:14" x14ac:dyDescent="0.35">
      <c r="B11" s="8" t="s">
        <v>94</v>
      </c>
      <c r="C11" s="61">
        <v>-4308</v>
      </c>
      <c r="D11" s="61">
        <v>-4194</v>
      </c>
      <c r="E11" s="56">
        <v>-2040</v>
      </c>
      <c r="F11" s="56">
        <v>-1895</v>
      </c>
      <c r="G11" s="56">
        <v>-3021</v>
      </c>
      <c r="H11" s="56">
        <v>-2659</v>
      </c>
      <c r="I11" s="56">
        <v>-1785</v>
      </c>
      <c r="J11" s="56">
        <v>-2105</v>
      </c>
      <c r="K11" s="56">
        <v>-1910</v>
      </c>
      <c r="L11" s="56">
        <v>-3179</v>
      </c>
      <c r="M11" s="56">
        <v>-4516</v>
      </c>
      <c r="N11" s="56">
        <v>-3991</v>
      </c>
    </row>
    <row r="12" spans="2:14" x14ac:dyDescent="0.35">
      <c r="B12" s="11" t="s">
        <v>115</v>
      </c>
      <c r="C12" s="61">
        <v>-27991</v>
      </c>
      <c r="D12" s="61">
        <v>-36232</v>
      </c>
      <c r="E12" s="56">
        <v>-36694</v>
      </c>
      <c r="F12" s="56">
        <v>-39571</v>
      </c>
      <c r="G12" s="56">
        <v>-25139</v>
      </c>
      <c r="H12" s="56">
        <v>-20878</v>
      </c>
      <c r="I12" s="56">
        <v>-33115</v>
      </c>
      <c r="J12" s="56">
        <v>-25672</v>
      </c>
      <c r="K12" s="56">
        <v>-4444</v>
      </c>
      <c r="L12" s="56">
        <v>-15417</v>
      </c>
      <c r="M12" s="56">
        <v>-22781</v>
      </c>
      <c r="N12" s="56">
        <v>-49982</v>
      </c>
    </row>
    <row r="13" spans="2:14" x14ac:dyDescent="0.35">
      <c r="B13" s="8" t="s">
        <v>95</v>
      </c>
      <c r="C13" s="61">
        <v>-26975</v>
      </c>
      <c r="D13" s="61">
        <v>-31962</v>
      </c>
      <c r="E13" s="56">
        <v>-31503</v>
      </c>
      <c r="F13" s="56">
        <v>-16072</v>
      </c>
      <c r="G13" s="56">
        <v>-35079</v>
      </c>
      <c r="H13" s="56">
        <v>-35304</v>
      </c>
      <c r="I13" s="56">
        <v>-29702</v>
      </c>
      <c r="J13" s="56">
        <v>-20205</v>
      </c>
      <c r="K13" s="56">
        <v>-15168</v>
      </c>
      <c r="L13" s="56">
        <v>-19230</v>
      </c>
      <c r="M13" s="56">
        <v>-31414</v>
      </c>
      <c r="N13" s="56">
        <v>-38042</v>
      </c>
    </row>
    <row r="14" spans="2:14" x14ac:dyDescent="0.35">
      <c r="B14" s="8" t="s">
        <v>96</v>
      </c>
      <c r="C14" s="62">
        <v>50</v>
      </c>
      <c r="D14" s="62">
        <v>74</v>
      </c>
      <c r="E14" s="8">
        <v>59</v>
      </c>
      <c r="F14" s="8">
        <v>53</v>
      </c>
      <c r="G14" s="8">
        <v>30</v>
      </c>
      <c r="H14" s="8">
        <v>67</v>
      </c>
      <c r="I14" s="8">
        <v>171</v>
      </c>
      <c r="J14" s="8">
        <v>351</v>
      </c>
      <c r="K14" s="8">
        <v>230</v>
      </c>
      <c r="L14" s="8">
        <v>285</v>
      </c>
      <c r="M14" s="8">
        <v>231</v>
      </c>
      <c r="N14" s="8">
        <v>974</v>
      </c>
    </row>
    <row r="15" spans="2:14" x14ac:dyDescent="0.35">
      <c r="B15" s="8" t="s">
        <v>97</v>
      </c>
      <c r="C15" s="62">
        <v>-429</v>
      </c>
      <c r="D15" s="61">
        <v>-5461</v>
      </c>
      <c r="E15" s="56">
        <v>-4728</v>
      </c>
      <c r="F15" s="8">
        <v>-6</v>
      </c>
      <c r="G15" s="8">
        <v>-329</v>
      </c>
      <c r="H15" s="8">
        <v>-130</v>
      </c>
      <c r="I15" s="56">
        <v>-1439</v>
      </c>
      <c r="J15" s="56">
        <v>-7530</v>
      </c>
      <c r="K15" s="56">
        <v>-3008</v>
      </c>
      <c r="L15" s="8">
        <v>-50</v>
      </c>
      <c r="M15" s="8">
        <v>-74</v>
      </c>
      <c r="N15" s="56">
        <v>-12677</v>
      </c>
    </row>
    <row r="16" spans="2:14" x14ac:dyDescent="0.35">
      <c r="B16" s="8" t="s">
        <v>98</v>
      </c>
      <c r="C16" s="62">
        <v>4</v>
      </c>
      <c r="D16" s="62">
        <v>42</v>
      </c>
      <c r="E16" s="8">
        <v>89</v>
      </c>
      <c r="F16" s="56">
        <v>1965</v>
      </c>
      <c r="G16" s="56">
        <v>2381</v>
      </c>
      <c r="H16" s="56">
        <v>5644</v>
      </c>
      <c r="I16" s="8">
        <v>21</v>
      </c>
      <c r="J16" s="8">
        <v>226</v>
      </c>
      <c r="K16" s="8">
        <v>104</v>
      </c>
      <c r="L16" s="56">
        <v>6895</v>
      </c>
      <c r="M16" s="56">
        <v>10821</v>
      </c>
      <c r="N16" s="8">
        <v>111</v>
      </c>
    </row>
    <row r="17" spans="2:14" x14ac:dyDescent="0.35">
      <c r="B17" s="8" t="s">
        <v>99</v>
      </c>
      <c r="C17" s="62">
        <v>653</v>
      </c>
      <c r="D17" s="62">
        <v>698</v>
      </c>
      <c r="E17" s="8">
        <v>731</v>
      </c>
      <c r="F17" s="8">
        <v>638</v>
      </c>
      <c r="G17" s="8">
        <v>690</v>
      </c>
      <c r="H17" s="8">
        <v>761</v>
      </c>
      <c r="I17" s="56">
        <v>1104</v>
      </c>
      <c r="J17" s="8">
        <v>428</v>
      </c>
      <c r="K17" s="8">
        <v>653</v>
      </c>
      <c r="L17" s="8">
        <v>973</v>
      </c>
      <c r="M17" s="56">
        <v>2493</v>
      </c>
      <c r="N17" s="56">
        <v>2420</v>
      </c>
    </row>
    <row r="18" spans="2:14" x14ac:dyDescent="0.35">
      <c r="B18" s="8" t="s">
        <v>100</v>
      </c>
      <c r="C18" s="62">
        <v>40</v>
      </c>
      <c r="D18" s="62">
        <v>80</v>
      </c>
      <c r="E18" s="8">
        <v>58</v>
      </c>
      <c r="F18" s="8">
        <v>620</v>
      </c>
      <c r="G18" s="56">
        <v>1797</v>
      </c>
      <c r="H18" s="8">
        <v>232</v>
      </c>
      <c r="I18" s="8">
        <v>21</v>
      </c>
      <c r="J18" s="8">
        <v>18</v>
      </c>
      <c r="K18" s="8">
        <v>32</v>
      </c>
      <c r="L18" s="8">
        <v>46</v>
      </c>
      <c r="M18" s="8">
        <v>47</v>
      </c>
      <c r="N18" s="8">
        <v>64</v>
      </c>
    </row>
    <row r="19" spans="2:14" x14ac:dyDescent="0.35">
      <c r="B19" s="8" t="s">
        <v>101</v>
      </c>
      <c r="C19" s="62">
        <v>0</v>
      </c>
      <c r="D19" s="62">
        <v>-160</v>
      </c>
      <c r="E19" s="8">
        <v>0</v>
      </c>
      <c r="F19" s="8">
        <v>-107</v>
      </c>
      <c r="G19" s="8">
        <v>-4</v>
      </c>
      <c r="H19" s="8">
        <v>-9</v>
      </c>
      <c r="I19" s="8">
        <v>-606</v>
      </c>
      <c r="J19" s="8">
        <v>-10</v>
      </c>
      <c r="K19" s="8">
        <v>0</v>
      </c>
      <c r="L19" s="8">
        <v>0</v>
      </c>
      <c r="M19" s="8">
        <v>-150</v>
      </c>
      <c r="N19" s="8">
        <v>0</v>
      </c>
    </row>
    <row r="20" spans="2:14" x14ac:dyDescent="0.35">
      <c r="B20" s="8" t="s">
        <v>102</v>
      </c>
      <c r="C20" s="62">
        <v>0</v>
      </c>
      <c r="D20" s="62">
        <v>0</v>
      </c>
      <c r="E20" s="8">
        <v>0</v>
      </c>
      <c r="F20" s="8">
        <v>0</v>
      </c>
      <c r="G20" s="8">
        <v>14</v>
      </c>
      <c r="H20" s="8">
        <v>533</v>
      </c>
      <c r="I20" s="8">
        <v>0</v>
      </c>
      <c r="J20" s="8">
        <v>0</v>
      </c>
      <c r="K20" s="8">
        <v>0</v>
      </c>
      <c r="L20" s="8">
        <v>19</v>
      </c>
      <c r="M20" s="8">
        <v>107</v>
      </c>
      <c r="N20" s="8">
        <v>765</v>
      </c>
    </row>
    <row r="21" spans="2:14" x14ac:dyDescent="0.35">
      <c r="B21" s="8" t="s">
        <v>103</v>
      </c>
      <c r="C21" s="62">
        <v>-185</v>
      </c>
      <c r="D21" s="62">
        <v>0</v>
      </c>
      <c r="E21" s="8">
        <v>-111</v>
      </c>
      <c r="F21" s="8">
        <v>0</v>
      </c>
      <c r="G21" s="8">
        <v>0</v>
      </c>
      <c r="H21" s="8">
        <v>-8</v>
      </c>
      <c r="I21" s="8">
        <v>-27</v>
      </c>
      <c r="J21" s="8">
        <v>0</v>
      </c>
      <c r="K21" s="8">
        <v>-98</v>
      </c>
      <c r="L21" s="8">
        <v>0</v>
      </c>
      <c r="M21" s="8">
        <v>0</v>
      </c>
      <c r="N21" s="8">
        <v>-688</v>
      </c>
    </row>
    <row r="22" spans="2:14" x14ac:dyDescent="0.35">
      <c r="B22" s="8" t="s">
        <v>104</v>
      </c>
      <c r="C22" s="62">
        <v>0</v>
      </c>
      <c r="D22" s="62">
        <v>0</v>
      </c>
      <c r="E22" s="8">
        <v>0</v>
      </c>
      <c r="F22" s="8">
        <v>0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-25</v>
      </c>
      <c r="N22" s="8">
        <v>-20</v>
      </c>
    </row>
    <row r="23" spans="2:14" x14ac:dyDescent="0.35">
      <c r="B23" s="8" t="s">
        <v>105</v>
      </c>
      <c r="C23" s="61">
        <v>-1149</v>
      </c>
      <c r="D23" s="62">
        <v>456</v>
      </c>
      <c r="E23" s="56">
        <v>-1289</v>
      </c>
      <c r="F23" s="56">
        <v>-26663</v>
      </c>
      <c r="G23" s="56">
        <v>5360</v>
      </c>
      <c r="H23" s="56">
        <v>7335</v>
      </c>
      <c r="I23" s="56">
        <v>-2659</v>
      </c>
      <c r="J23" s="56">
        <v>1051</v>
      </c>
      <c r="K23" s="56">
        <v>12813</v>
      </c>
      <c r="L23" s="56">
        <v>-4357</v>
      </c>
      <c r="M23" s="56">
        <v>-4817</v>
      </c>
      <c r="N23" s="56">
        <v>-2889</v>
      </c>
    </row>
    <row r="24" spans="2:14" x14ac:dyDescent="0.35">
      <c r="B24" s="11" t="s">
        <v>116</v>
      </c>
      <c r="C24" s="61">
        <v>-3883</v>
      </c>
      <c r="D24" s="61">
        <v>5201</v>
      </c>
      <c r="E24" s="56">
        <v>-3795</v>
      </c>
      <c r="F24" s="56">
        <v>6205</v>
      </c>
      <c r="G24" s="56">
        <v>2012</v>
      </c>
      <c r="H24" s="56">
        <v>8830</v>
      </c>
      <c r="I24" s="56">
        <v>3390</v>
      </c>
      <c r="J24" s="56">
        <v>9904</v>
      </c>
      <c r="K24" s="56">
        <v>-3380</v>
      </c>
      <c r="L24" s="56">
        <v>-26243</v>
      </c>
      <c r="M24" s="56">
        <v>-37006</v>
      </c>
      <c r="N24" s="56">
        <v>-18786</v>
      </c>
    </row>
    <row r="25" spans="2:14" x14ac:dyDescent="0.35">
      <c r="B25" s="8" t="s">
        <v>106</v>
      </c>
      <c r="C25" s="62">
        <v>0</v>
      </c>
      <c r="D25" s="62">
        <v>0</v>
      </c>
      <c r="E25" s="56">
        <v>7433</v>
      </c>
      <c r="F25" s="8">
        <v>5</v>
      </c>
      <c r="G25" s="8">
        <v>0</v>
      </c>
      <c r="H25" s="8">
        <v>0</v>
      </c>
      <c r="I25" s="56">
        <v>3889</v>
      </c>
      <c r="J25" s="56">
        <v>2603</v>
      </c>
      <c r="K25" s="8">
        <v>19</v>
      </c>
      <c r="L25" s="8">
        <v>20</v>
      </c>
      <c r="M25" s="8">
        <v>82</v>
      </c>
      <c r="N25" s="56">
        <v>1108</v>
      </c>
    </row>
    <row r="26" spans="2:14" x14ac:dyDescent="0.35">
      <c r="B26" s="8" t="s">
        <v>107</v>
      </c>
      <c r="C26" s="62">
        <v>-658</v>
      </c>
      <c r="D26" s="62">
        <v>-744</v>
      </c>
      <c r="E26" s="8">
        <v>0</v>
      </c>
      <c r="F26" s="8">
        <v>0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0</v>
      </c>
    </row>
    <row r="27" spans="2:14" x14ac:dyDescent="0.35">
      <c r="B27" s="8" t="s">
        <v>108</v>
      </c>
      <c r="C27" s="61">
        <v>33258</v>
      </c>
      <c r="D27" s="61">
        <v>36363</v>
      </c>
      <c r="E27" s="56">
        <v>19519</v>
      </c>
      <c r="F27" s="56">
        <v>33390</v>
      </c>
      <c r="G27" s="56">
        <v>37482</v>
      </c>
      <c r="H27" s="56">
        <v>51128</v>
      </c>
      <c r="I27" s="56">
        <v>38297</v>
      </c>
      <c r="J27" s="56">
        <v>46641</v>
      </c>
      <c r="K27" s="56">
        <v>46578</v>
      </c>
      <c r="L27" s="56">
        <v>43934</v>
      </c>
      <c r="M27" s="56">
        <v>18829</v>
      </c>
      <c r="N27" s="56">
        <v>13384</v>
      </c>
    </row>
    <row r="28" spans="2:14" x14ac:dyDescent="0.35">
      <c r="B28" s="8" t="s">
        <v>109</v>
      </c>
      <c r="C28" s="61">
        <v>-29141</v>
      </c>
      <c r="D28" s="61">
        <v>-23332</v>
      </c>
      <c r="E28" s="56">
        <v>-24924</v>
      </c>
      <c r="F28" s="56">
        <v>-21732</v>
      </c>
      <c r="G28" s="56">
        <v>-29964</v>
      </c>
      <c r="H28" s="56">
        <v>-35198</v>
      </c>
      <c r="I28" s="56">
        <v>-29847</v>
      </c>
      <c r="J28" s="56">
        <v>-29709</v>
      </c>
      <c r="K28" s="56">
        <v>-42816</v>
      </c>
      <c r="L28" s="56">
        <v>-62557</v>
      </c>
      <c r="M28" s="56">
        <v>-47414</v>
      </c>
      <c r="N28" s="56">
        <v>-21443</v>
      </c>
    </row>
    <row r="29" spans="2:14" x14ac:dyDescent="0.35">
      <c r="B29" s="8" t="s">
        <v>110</v>
      </c>
      <c r="C29" s="61">
        <v>-6171</v>
      </c>
      <c r="D29" s="61">
        <v>-6307</v>
      </c>
      <c r="E29" s="56">
        <v>-5716</v>
      </c>
      <c r="F29" s="56">
        <v>-5336</v>
      </c>
      <c r="G29" s="56">
        <v>-5411</v>
      </c>
      <c r="H29" s="56">
        <v>-7005</v>
      </c>
      <c r="I29" s="56">
        <v>-7518</v>
      </c>
      <c r="J29" s="56">
        <v>-8123</v>
      </c>
      <c r="K29" s="56">
        <v>-9251</v>
      </c>
      <c r="L29" s="56">
        <v>-9336</v>
      </c>
      <c r="M29" s="56">
        <v>-9332</v>
      </c>
      <c r="N29" s="56">
        <v>-5814</v>
      </c>
    </row>
    <row r="30" spans="2:14" x14ac:dyDescent="0.35">
      <c r="B30" s="8" t="s">
        <v>111</v>
      </c>
      <c r="C30" s="62">
        <v>-722</v>
      </c>
      <c r="D30" s="62">
        <v>-720</v>
      </c>
      <c r="E30" s="8">
        <v>-108</v>
      </c>
      <c r="F30" s="8">
        <v>-121</v>
      </c>
      <c r="G30" s="8">
        <v>-96</v>
      </c>
      <c r="H30" s="8">
        <v>-95</v>
      </c>
      <c r="I30" s="8">
        <v>-57</v>
      </c>
      <c r="J30" s="8">
        <v>-30</v>
      </c>
      <c r="K30" s="8">
        <v>-100</v>
      </c>
      <c r="L30" s="8">
        <v>-141</v>
      </c>
      <c r="M30" s="56">
        <v>-1059</v>
      </c>
      <c r="N30" s="56">
        <v>-2492</v>
      </c>
    </row>
    <row r="31" spans="2:14" x14ac:dyDescent="0.35">
      <c r="B31" s="8" t="s">
        <v>112</v>
      </c>
      <c r="C31" s="62">
        <v>0</v>
      </c>
      <c r="D31" s="62">
        <v>0</v>
      </c>
      <c r="E31" s="8">
        <v>0</v>
      </c>
      <c r="F31" s="8">
        <v>0</v>
      </c>
      <c r="G31" s="8">
        <v>0</v>
      </c>
      <c r="H31" s="8">
        <v>0</v>
      </c>
      <c r="I31" s="56">
        <v>-1346</v>
      </c>
      <c r="J31" s="56">
        <v>-1477</v>
      </c>
      <c r="K31" s="56">
        <v>-1559</v>
      </c>
      <c r="L31" s="56">
        <v>-1517</v>
      </c>
      <c r="M31" s="56">
        <v>-1924</v>
      </c>
      <c r="N31" s="56">
        <v>-2393</v>
      </c>
    </row>
    <row r="32" spans="2:14" x14ac:dyDescent="0.35">
      <c r="B32" s="8" t="s">
        <v>113</v>
      </c>
      <c r="C32" s="62">
        <v>-450</v>
      </c>
      <c r="D32" s="62">
        <v>-57</v>
      </c>
      <c r="E32" s="8">
        <v>0</v>
      </c>
      <c r="F32" s="8">
        <v>0</v>
      </c>
      <c r="G32" s="8">
        <v>0</v>
      </c>
      <c r="H32" s="8">
        <v>0</v>
      </c>
      <c r="I32" s="8">
        <v>-29</v>
      </c>
      <c r="J32" s="8">
        <v>0</v>
      </c>
      <c r="K32" s="56">
        <v>3750</v>
      </c>
      <c r="L32" s="56">
        <v>3355</v>
      </c>
      <c r="M32" s="56">
        <v>3812</v>
      </c>
      <c r="N32" s="56">
        <v>-1136</v>
      </c>
    </row>
    <row r="33" spans="2:14" x14ac:dyDescent="0.35">
      <c r="B33" s="8" t="s">
        <v>50</v>
      </c>
      <c r="C33" s="61">
        <v>4277</v>
      </c>
      <c r="D33" s="61">
        <v>4500</v>
      </c>
      <c r="E33" s="56">
        <v>-2589</v>
      </c>
      <c r="F33" s="56">
        <v>-3167</v>
      </c>
      <c r="G33" s="8">
        <v>730</v>
      </c>
      <c r="H33" s="56">
        <v>6843</v>
      </c>
      <c r="I33" s="56">
        <v>-3092</v>
      </c>
      <c r="J33" s="56">
        <v>13232</v>
      </c>
      <c r="K33" s="56">
        <v>6459</v>
      </c>
      <c r="L33" s="56">
        <v>-6272</v>
      </c>
      <c r="M33" s="56">
        <v>8128</v>
      </c>
      <c r="N33" s="56">
        <v>-5666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33"/>
  <sheetViews>
    <sheetView topLeftCell="A10" workbookViewId="0">
      <selection activeCell="D3" sqref="D3"/>
    </sheetView>
  </sheetViews>
  <sheetFormatPr defaultRowHeight="14.5" x14ac:dyDescent="0.35"/>
  <cols>
    <col min="1" max="1" width="1.90625" style="8" customWidth="1"/>
    <col min="2" max="2" width="23" style="8" bestFit="1" customWidth="1"/>
    <col min="3" max="16384" width="8.7265625" style="8"/>
  </cols>
  <sheetData>
    <row r="1" spans="2:16" ht="15.5" x14ac:dyDescent="0.35">
      <c r="B1" s="66" t="s">
        <v>167</v>
      </c>
    </row>
    <row r="2" spans="2:16" x14ac:dyDescent="0.35">
      <c r="B2" s="58"/>
      <c r="C2" s="60">
        <v>41699</v>
      </c>
      <c r="D2" s="60">
        <v>42064</v>
      </c>
      <c r="E2" s="59">
        <v>42430</v>
      </c>
      <c r="F2" s="59">
        <v>42795</v>
      </c>
      <c r="G2" s="59">
        <v>43160</v>
      </c>
      <c r="H2" s="59">
        <v>43525</v>
      </c>
      <c r="I2" s="59">
        <v>43891</v>
      </c>
      <c r="J2" s="59">
        <v>44256</v>
      </c>
      <c r="K2" s="59">
        <v>44621</v>
      </c>
      <c r="L2" s="59">
        <v>44986</v>
      </c>
      <c r="M2" s="59">
        <v>45352</v>
      </c>
      <c r="N2" s="59">
        <v>45717</v>
      </c>
    </row>
    <row r="3" spans="2:16" x14ac:dyDescent="0.35">
      <c r="B3" s="11" t="s">
        <v>168</v>
      </c>
      <c r="C3" s="75">
        <v>644</v>
      </c>
      <c r="D3" s="75">
        <v>644</v>
      </c>
      <c r="E3" s="67">
        <v>679</v>
      </c>
      <c r="F3" s="67">
        <v>679</v>
      </c>
      <c r="G3" s="67">
        <v>679</v>
      </c>
      <c r="H3" s="67">
        <v>679</v>
      </c>
      <c r="I3" s="67">
        <v>720</v>
      </c>
      <c r="J3" s="67">
        <v>766</v>
      </c>
      <c r="K3" s="67">
        <v>766</v>
      </c>
      <c r="L3" s="67">
        <v>766</v>
      </c>
      <c r="M3" s="67">
        <v>767</v>
      </c>
      <c r="N3" s="67">
        <v>736</v>
      </c>
    </row>
    <row r="4" spans="2:16" x14ac:dyDescent="0.35">
      <c r="B4" s="11" t="s">
        <v>32</v>
      </c>
      <c r="C4" s="75">
        <v>64960</v>
      </c>
      <c r="D4" s="75">
        <v>55618</v>
      </c>
      <c r="E4" s="67">
        <v>78273</v>
      </c>
      <c r="F4" s="67">
        <v>57383</v>
      </c>
      <c r="G4" s="67">
        <v>94749</v>
      </c>
      <c r="H4" s="67">
        <v>59500</v>
      </c>
      <c r="I4" s="67">
        <v>62359</v>
      </c>
      <c r="J4" s="68">
        <v>54481</v>
      </c>
      <c r="K4" s="67">
        <v>43795</v>
      </c>
      <c r="L4" s="67">
        <v>44556</v>
      </c>
      <c r="M4" s="67">
        <v>84151</v>
      </c>
      <c r="N4" s="67">
        <v>115408</v>
      </c>
    </row>
    <row r="5" spans="2:16" x14ac:dyDescent="0.35">
      <c r="B5" s="11" t="s">
        <v>194</v>
      </c>
      <c r="C5" s="75">
        <v>60642</v>
      </c>
      <c r="D5" s="75">
        <v>73610</v>
      </c>
      <c r="E5" s="67">
        <v>69360</v>
      </c>
      <c r="F5" s="67">
        <v>78604</v>
      </c>
      <c r="G5" s="67">
        <v>88950</v>
      </c>
      <c r="H5" s="67">
        <v>106175</v>
      </c>
      <c r="I5" s="67">
        <v>124788</v>
      </c>
      <c r="J5" s="67">
        <v>142131</v>
      </c>
      <c r="K5" s="67">
        <v>146449</v>
      </c>
      <c r="L5" s="67">
        <v>134113</v>
      </c>
      <c r="M5" s="67">
        <v>107264</v>
      </c>
      <c r="N5" s="67">
        <v>71540</v>
      </c>
    </row>
    <row r="6" spans="2:16" x14ac:dyDescent="0.35">
      <c r="B6" s="11" t="s">
        <v>169</v>
      </c>
      <c r="C6" s="75"/>
      <c r="D6" s="75"/>
      <c r="E6" s="67"/>
      <c r="F6" s="67"/>
      <c r="G6" s="67"/>
      <c r="H6" s="67"/>
      <c r="I6" s="67"/>
      <c r="J6" s="67"/>
      <c r="K6" s="67"/>
      <c r="L6" s="67"/>
      <c r="M6" s="67"/>
      <c r="N6" s="67"/>
    </row>
    <row r="7" spans="2:16" x14ac:dyDescent="0.35">
      <c r="B7" s="8" t="s">
        <v>170</v>
      </c>
      <c r="C7" s="75">
        <v>421</v>
      </c>
      <c r="D7" s="75">
        <v>433</v>
      </c>
      <c r="E7" s="67">
        <v>433</v>
      </c>
      <c r="F7" s="67">
        <v>453</v>
      </c>
      <c r="G7" s="67">
        <v>525</v>
      </c>
      <c r="H7" s="67">
        <v>523</v>
      </c>
      <c r="I7" s="67">
        <v>814</v>
      </c>
      <c r="J7" s="67">
        <v>1573</v>
      </c>
      <c r="K7" s="67">
        <v>4271</v>
      </c>
      <c r="L7" s="67">
        <v>7278</v>
      </c>
      <c r="M7" s="67">
        <v>8176</v>
      </c>
      <c r="N7" s="67">
        <v>6610</v>
      </c>
    </row>
    <row r="8" spans="2:16" x14ac:dyDescent="0.35">
      <c r="B8" s="8" t="s">
        <v>171</v>
      </c>
      <c r="C8" s="75">
        <v>57316</v>
      </c>
      <c r="D8" s="75">
        <v>57407</v>
      </c>
      <c r="E8" s="67">
        <v>61562</v>
      </c>
      <c r="F8" s="67">
        <v>62533</v>
      </c>
      <c r="G8" s="67">
        <v>76940</v>
      </c>
      <c r="H8" s="67">
        <v>71691</v>
      </c>
      <c r="I8" s="67">
        <v>66398</v>
      </c>
      <c r="J8" s="67">
        <v>76040</v>
      </c>
      <c r="K8" s="67">
        <v>69750</v>
      </c>
      <c r="L8" s="67">
        <v>79252</v>
      </c>
      <c r="M8" s="67">
        <v>93978</v>
      </c>
      <c r="N8" s="67">
        <v>97368</v>
      </c>
    </row>
    <row r="9" spans="2:16" x14ac:dyDescent="0.35">
      <c r="B9" s="8" t="s">
        <v>172</v>
      </c>
      <c r="C9" s="75">
        <v>3119</v>
      </c>
      <c r="D9" s="75">
        <v>2289</v>
      </c>
      <c r="E9" s="67">
        <v>2165</v>
      </c>
      <c r="F9" s="67">
        <v>1711</v>
      </c>
      <c r="G9" s="67">
        <v>0</v>
      </c>
      <c r="H9" s="67">
        <v>0</v>
      </c>
      <c r="I9" s="67">
        <v>0</v>
      </c>
      <c r="J9" s="67">
        <v>0</v>
      </c>
      <c r="K9" s="67">
        <v>0</v>
      </c>
      <c r="L9" s="67">
        <v>0</v>
      </c>
      <c r="M9" s="67">
        <v>0</v>
      </c>
      <c r="N9" s="67">
        <v>0</v>
      </c>
    </row>
    <row r="10" spans="2:16" x14ac:dyDescent="0.35">
      <c r="B10" s="8" t="s">
        <v>173</v>
      </c>
      <c r="C10" s="75">
        <v>31325</v>
      </c>
      <c r="D10" s="75">
        <v>47313</v>
      </c>
      <c r="E10" s="67">
        <v>50712</v>
      </c>
      <c r="F10" s="67">
        <v>71218</v>
      </c>
      <c r="G10" s="67">
        <v>65349</v>
      </c>
      <c r="H10" s="67">
        <v>67135</v>
      </c>
      <c r="I10" s="67">
        <v>65101</v>
      </c>
      <c r="J10" s="67">
        <v>66579</v>
      </c>
      <c r="K10" s="67">
        <v>64030</v>
      </c>
      <c r="L10" s="67">
        <v>68710</v>
      </c>
      <c r="M10" s="67">
        <v>75185</v>
      </c>
      <c r="N10" s="67">
        <v>85311</v>
      </c>
      <c r="O10" s="56"/>
      <c r="P10" s="56"/>
    </row>
    <row r="11" spans="2:16" ht="15" thickBot="1" x14ac:dyDescent="0.4">
      <c r="B11" s="57" t="s">
        <v>174</v>
      </c>
      <c r="C11" s="76">
        <v>218426</v>
      </c>
      <c r="D11" s="76">
        <v>237315</v>
      </c>
      <c r="E11" s="73">
        <v>263184</v>
      </c>
      <c r="F11" s="73">
        <v>272580</v>
      </c>
      <c r="G11" s="74">
        <v>327192</v>
      </c>
      <c r="H11" s="74">
        <v>305703</v>
      </c>
      <c r="I11" s="74">
        <v>320179</v>
      </c>
      <c r="J11" s="74">
        <v>341570</v>
      </c>
      <c r="K11" s="74">
        <v>329061</v>
      </c>
      <c r="L11" s="74">
        <v>334674</v>
      </c>
      <c r="M11" s="74">
        <v>369521</v>
      </c>
      <c r="N11" s="74">
        <v>376973</v>
      </c>
      <c r="O11" s="14"/>
      <c r="P11" s="14"/>
    </row>
    <row r="12" spans="2:16" x14ac:dyDescent="0.35">
      <c r="B12" s="11"/>
      <c r="C12" s="75"/>
      <c r="D12" s="75"/>
      <c r="E12" s="67"/>
      <c r="F12" s="67"/>
      <c r="G12" s="68"/>
      <c r="H12" s="68"/>
      <c r="I12" s="68"/>
      <c r="J12" s="68"/>
      <c r="K12" s="68"/>
      <c r="L12" s="68"/>
      <c r="M12" s="68"/>
      <c r="N12" s="68"/>
      <c r="O12" s="14"/>
      <c r="P12" s="14"/>
    </row>
    <row r="13" spans="2:16" x14ac:dyDescent="0.35">
      <c r="B13" s="11" t="s">
        <v>175</v>
      </c>
      <c r="C13" s="75">
        <v>69092</v>
      </c>
      <c r="D13" s="75">
        <v>88479</v>
      </c>
      <c r="E13" s="67">
        <v>107232</v>
      </c>
      <c r="F13" s="67">
        <v>95944</v>
      </c>
      <c r="G13" s="68">
        <v>121414</v>
      </c>
      <c r="H13" s="68">
        <v>111234</v>
      </c>
      <c r="I13" s="68">
        <v>127107</v>
      </c>
      <c r="J13" s="68">
        <v>138708</v>
      </c>
      <c r="K13" s="68">
        <v>138855</v>
      </c>
      <c r="L13" s="68">
        <v>132080</v>
      </c>
      <c r="M13" s="68">
        <v>121285</v>
      </c>
      <c r="N13" s="68">
        <v>115697</v>
      </c>
      <c r="O13" s="14"/>
      <c r="P13" s="14"/>
    </row>
    <row r="14" spans="2:16" x14ac:dyDescent="0.35">
      <c r="B14" s="8" t="s">
        <v>176</v>
      </c>
      <c r="C14" s="75">
        <v>2296</v>
      </c>
      <c r="D14" s="75">
        <v>2513</v>
      </c>
      <c r="E14" s="67">
        <v>7185</v>
      </c>
      <c r="F14" s="67">
        <v>6762</v>
      </c>
      <c r="G14" s="67">
        <v>7339</v>
      </c>
      <c r="H14" s="67">
        <v>7286</v>
      </c>
      <c r="I14" s="67">
        <v>7675</v>
      </c>
      <c r="J14" s="67">
        <v>7819</v>
      </c>
      <c r="K14" s="67">
        <v>7760</v>
      </c>
      <c r="L14" s="67">
        <v>8045</v>
      </c>
      <c r="M14" s="67">
        <v>7996</v>
      </c>
      <c r="N14" s="67">
        <v>7900</v>
      </c>
    </row>
    <row r="15" spans="2:16" x14ac:dyDescent="0.35">
      <c r="B15" s="8" t="s">
        <v>177</v>
      </c>
      <c r="C15" s="75">
        <v>11010</v>
      </c>
      <c r="D15" s="75">
        <v>13396</v>
      </c>
      <c r="E15" s="67">
        <v>12343</v>
      </c>
      <c r="F15" s="67">
        <v>12164</v>
      </c>
      <c r="G15" s="67">
        <v>16552</v>
      </c>
      <c r="H15" s="67">
        <v>22938</v>
      </c>
      <c r="I15" s="67">
        <v>32665</v>
      </c>
      <c r="J15" s="68">
        <v>35537</v>
      </c>
      <c r="K15" s="67">
        <v>36466</v>
      </c>
      <c r="L15" s="67">
        <v>38674</v>
      </c>
      <c r="M15" s="67">
        <v>40583</v>
      </c>
      <c r="N15" s="67">
        <v>44662</v>
      </c>
    </row>
    <row r="16" spans="2:16" x14ac:dyDescent="0.35">
      <c r="B16" s="8" t="s">
        <v>178</v>
      </c>
      <c r="C16" s="75">
        <v>79505</v>
      </c>
      <c r="D16" s="75">
        <v>88943</v>
      </c>
      <c r="E16" s="67">
        <v>80063</v>
      </c>
      <c r="F16" s="67">
        <v>79976</v>
      </c>
      <c r="G16" s="67">
        <v>100226</v>
      </c>
      <c r="H16" s="67">
        <v>109415</v>
      </c>
      <c r="I16" s="67">
        <v>124158</v>
      </c>
      <c r="J16" s="67">
        <v>138868</v>
      </c>
      <c r="K16" s="67">
        <v>148585</v>
      </c>
      <c r="L16" s="67">
        <v>153672</v>
      </c>
      <c r="M16" s="67">
        <v>151877</v>
      </c>
      <c r="N16" s="67">
        <v>155939</v>
      </c>
    </row>
    <row r="17" spans="2:14" x14ac:dyDescent="0.35">
      <c r="B17" s="8" t="s">
        <v>179</v>
      </c>
      <c r="C17" s="75">
        <v>0</v>
      </c>
      <c r="D17" s="75">
        <v>482</v>
      </c>
      <c r="E17" s="67">
        <v>498</v>
      </c>
      <c r="F17" s="67">
        <v>0</v>
      </c>
      <c r="G17" s="67">
        <v>0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67">
        <v>0</v>
      </c>
      <c r="N17" s="67">
        <v>0</v>
      </c>
    </row>
    <row r="18" spans="2:14" x14ac:dyDescent="0.35">
      <c r="B18" s="8" t="s">
        <v>180</v>
      </c>
      <c r="C18" s="75">
        <v>1126</v>
      </c>
      <c r="D18" s="75">
        <v>1364</v>
      </c>
      <c r="E18" s="67">
        <v>1634</v>
      </c>
      <c r="F18" s="67">
        <v>1767</v>
      </c>
      <c r="G18" s="67">
        <v>1943</v>
      </c>
      <c r="H18" s="67">
        <v>2335</v>
      </c>
      <c r="I18" s="67">
        <v>3054</v>
      </c>
      <c r="J18" s="67">
        <v>3172</v>
      </c>
      <c r="K18" s="67">
        <v>3383</v>
      </c>
      <c r="L18" s="67">
        <v>3499</v>
      </c>
      <c r="M18" s="67">
        <v>3667</v>
      </c>
      <c r="N18" s="67">
        <v>3879</v>
      </c>
    </row>
    <row r="19" spans="2:14" x14ac:dyDescent="0.35">
      <c r="B19" s="8" t="s">
        <v>181</v>
      </c>
      <c r="C19" s="75">
        <v>1011</v>
      </c>
      <c r="D19" s="75">
        <v>1149</v>
      </c>
      <c r="E19" s="67">
        <v>1241</v>
      </c>
      <c r="F19" s="67">
        <v>1401</v>
      </c>
      <c r="G19" s="67">
        <v>1430</v>
      </c>
      <c r="H19" s="67">
        <v>1626</v>
      </c>
      <c r="I19" s="67">
        <v>1890</v>
      </c>
      <c r="J19" s="67">
        <v>1956</v>
      </c>
      <c r="K19" s="67">
        <v>1984</v>
      </c>
      <c r="L19" s="67">
        <v>2084</v>
      </c>
      <c r="M19" s="67">
        <v>2029</v>
      </c>
      <c r="N19" s="67">
        <v>1970</v>
      </c>
    </row>
    <row r="20" spans="2:14" x14ac:dyDescent="0.35">
      <c r="B20" s="8" t="s">
        <v>182</v>
      </c>
      <c r="C20" s="75">
        <v>270</v>
      </c>
      <c r="D20" s="75">
        <v>280</v>
      </c>
      <c r="E20" s="67">
        <v>280</v>
      </c>
      <c r="F20" s="67">
        <v>291</v>
      </c>
      <c r="G20" s="67">
        <v>353</v>
      </c>
      <c r="H20" s="67">
        <v>387</v>
      </c>
      <c r="I20" s="67">
        <v>601</v>
      </c>
      <c r="J20" s="67">
        <v>845</v>
      </c>
      <c r="K20" s="67">
        <v>725</v>
      </c>
      <c r="L20" s="67">
        <v>788</v>
      </c>
      <c r="M20" s="67">
        <v>956</v>
      </c>
      <c r="N20" s="67">
        <v>1151</v>
      </c>
    </row>
    <row r="21" spans="2:14" x14ac:dyDescent="0.35">
      <c r="B21" s="8" t="s">
        <v>183</v>
      </c>
      <c r="C21" s="75">
        <v>8994</v>
      </c>
      <c r="D21" s="75">
        <v>9580</v>
      </c>
      <c r="E21" s="67">
        <v>58951</v>
      </c>
      <c r="F21" s="67">
        <v>54932</v>
      </c>
      <c r="G21" s="67">
        <v>77870</v>
      </c>
      <c r="H21" s="67">
        <v>80480</v>
      </c>
      <c r="I21" s="67">
        <v>91157</v>
      </c>
      <c r="J21" s="67">
        <v>114809</v>
      </c>
      <c r="K21" s="67">
        <v>114323</v>
      </c>
      <c r="L21" s="67">
        <v>112538</v>
      </c>
      <c r="M21" s="67">
        <v>116714</v>
      </c>
      <c r="N21" s="67">
        <v>93455</v>
      </c>
    </row>
    <row r="22" spans="2:14" x14ac:dyDescent="0.35">
      <c r="B22" s="8" t="s">
        <v>184</v>
      </c>
      <c r="C22" s="75">
        <v>33694</v>
      </c>
      <c r="D22" s="75">
        <v>45196</v>
      </c>
      <c r="E22" s="67">
        <v>6746</v>
      </c>
      <c r="F22" s="67">
        <v>6219</v>
      </c>
      <c r="G22" s="67">
        <v>7497</v>
      </c>
      <c r="H22" s="67">
        <v>8049</v>
      </c>
      <c r="I22" s="67">
        <v>9380</v>
      </c>
      <c r="J22" s="67">
        <v>10686</v>
      </c>
      <c r="K22" s="67">
        <v>10870</v>
      </c>
      <c r="L22" s="67">
        <v>11841</v>
      </c>
      <c r="M22" s="67">
        <v>10657</v>
      </c>
      <c r="N22" s="67">
        <v>11044</v>
      </c>
    </row>
    <row r="23" spans="2:14" x14ac:dyDescent="0.35">
      <c r="B23" s="71" t="s">
        <v>185</v>
      </c>
      <c r="C23" s="77">
        <v>137907</v>
      </c>
      <c r="D23" s="77">
        <v>162904</v>
      </c>
      <c r="E23" s="72">
        <v>168941</v>
      </c>
      <c r="F23" s="72">
        <v>163512</v>
      </c>
      <c r="G23" s="72">
        <v>213209</v>
      </c>
      <c r="H23" s="72">
        <v>232517</v>
      </c>
      <c r="I23" s="72">
        <v>270579</v>
      </c>
      <c r="J23" s="72">
        <v>313692</v>
      </c>
      <c r="K23" s="72">
        <v>324096</v>
      </c>
      <c r="L23" s="72">
        <v>331141</v>
      </c>
      <c r="M23" s="72">
        <v>334479</v>
      </c>
      <c r="N23" s="72">
        <v>320000</v>
      </c>
    </row>
    <row r="24" spans="2:14" x14ac:dyDescent="0.35">
      <c r="B24" s="11" t="s">
        <v>186</v>
      </c>
      <c r="C24" s="75">
        <v>68815</v>
      </c>
      <c r="D24" s="75">
        <v>74424</v>
      </c>
      <c r="E24" s="67">
        <v>61709</v>
      </c>
      <c r="F24" s="67">
        <v>67568</v>
      </c>
      <c r="G24" s="67">
        <v>91795</v>
      </c>
      <c r="H24" s="67">
        <v>121283</v>
      </c>
      <c r="I24" s="67">
        <v>143471</v>
      </c>
      <c r="J24" s="67">
        <v>174985</v>
      </c>
      <c r="K24" s="67">
        <v>185241</v>
      </c>
      <c r="L24" s="67">
        <v>199062</v>
      </c>
      <c r="M24" s="67">
        <v>213194</v>
      </c>
      <c r="N24" s="67">
        <v>204303</v>
      </c>
    </row>
    <row r="25" spans="2:14" x14ac:dyDescent="0.35">
      <c r="B25" s="11" t="s">
        <v>187</v>
      </c>
      <c r="C25" s="75">
        <v>33263</v>
      </c>
      <c r="D25" s="75">
        <v>28640</v>
      </c>
      <c r="E25" s="67">
        <v>25919</v>
      </c>
      <c r="F25" s="67">
        <v>33699</v>
      </c>
      <c r="G25" s="67">
        <v>40034</v>
      </c>
      <c r="H25" s="67">
        <v>31884</v>
      </c>
      <c r="I25" s="67">
        <v>35622</v>
      </c>
      <c r="J25" s="67">
        <v>20964</v>
      </c>
      <c r="K25" s="67">
        <v>10251</v>
      </c>
      <c r="L25" s="67">
        <v>14274</v>
      </c>
      <c r="M25" s="67">
        <v>35698</v>
      </c>
      <c r="N25" s="67">
        <v>65806</v>
      </c>
    </row>
    <row r="26" spans="2:14" x14ac:dyDescent="0.35">
      <c r="B26" s="11" t="s">
        <v>38</v>
      </c>
      <c r="C26" s="75">
        <v>10687</v>
      </c>
      <c r="D26" s="75">
        <v>15337</v>
      </c>
      <c r="E26" s="67">
        <v>23767</v>
      </c>
      <c r="F26" s="67">
        <v>20338</v>
      </c>
      <c r="G26" s="67">
        <v>20813</v>
      </c>
      <c r="H26" s="67">
        <v>15771</v>
      </c>
      <c r="I26" s="67">
        <v>16308</v>
      </c>
      <c r="J26" s="67">
        <v>24620</v>
      </c>
      <c r="K26" s="67">
        <v>29380</v>
      </c>
      <c r="L26" s="67">
        <v>26379</v>
      </c>
      <c r="M26" s="67">
        <v>22971</v>
      </c>
      <c r="N26" s="67">
        <v>35656</v>
      </c>
    </row>
    <row r="27" spans="2:14" x14ac:dyDescent="0.35">
      <c r="B27" s="11" t="s">
        <v>188</v>
      </c>
      <c r="C27" s="75"/>
      <c r="D27" s="75"/>
      <c r="E27" s="67"/>
      <c r="F27" s="67"/>
      <c r="G27" s="67"/>
      <c r="H27" s="67"/>
      <c r="I27" s="67"/>
      <c r="J27" s="67"/>
      <c r="K27" s="67"/>
      <c r="L27" s="67"/>
      <c r="M27" s="67"/>
      <c r="N27" s="67"/>
    </row>
    <row r="28" spans="2:14" x14ac:dyDescent="0.35">
      <c r="B28" s="8" t="s">
        <v>189</v>
      </c>
      <c r="C28" s="75">
        <v>27271</v>
      </c>
      <c r="D28" s="75">
        <v>29272</v>
      </c>
      <c r="E28" s="67">
        <v>32656</v>
      </c>
      <c r="F28" s="67">
        <v>35085</v>
      </c>
      <c r="G28" s="67">
        <v>42138</v>
      </c>
      <c r="H28" s="67">
        <v>39014</v>
      </c>
      <c r="I28" s="67">
        <v>37457</v>
      </c>
      <c r="J28" s="67">
        <v>36089</v>
      </c>
      <c r="K28" s="67">
        <v>35240</v>
      </c>
      <c r="L28" s="67">
        <v>40755</v>
      </c>
      <c r="M28" s="67">
        <v>47788</v>
      </c>
      <c r="N28" s="67">
        <v>47269</v>
      </c>
    </row>
    <row r="29" spans="2:14" x14ac:dyDescent="0.35">
      <c r="B29" s="8" t="s">
        <v>190</v>
      </c>
      <c r="C29" s="75">
        <v>10574</v>
      </c>
      <c r="D29" s="75">
        <v>12579</v>
      </c>
      <c r="E29" s="67">
        <v>13571</v>
      </c>
      <c r="F29" s="67">
        <v>14076</v>
      </c>
      <c r="G29" s="67">
        <v>19893</v>
      </c>
      <c r="H29" s="67">
        <v>18996</v>
      </c>
      <c r="I29" s="67">
        <v>11173</v>
      </c>
      <c r="J29" s="67">
        <v>12679</v>
      </c>
      <c r="K29" s="67">
        <v>12442</v>
      </c>
      <c r="L29" s="67">
        <v>15738</v>
      </c>
      <c r="M29" s="67">
        <v>16952</v>
      </c>
      <c r="N29" s="67">
        <v>13248</v>
      </c>
    </row>
    <row r="30" spans="2:14" x14ac:dyDescent="0.35">
      <c r="B30" s="8" t="s">
        <v>191</v>
      </c>
      <c r="C30" s="75">
        <v>29712</v>
      </c>
      <c r="D30" s="75">
        <v>32116</v>
      </c>
      <c r="E30" s="67">
        <v>30460</v>
      </c>
      <c r="F30" s="67">
        <v>36078</v>
      </c>
      <c r="G30" s="67">
        <v>34614</v>
      </c>
      <c r="H30" s="67">
        <v>32649</v>
      </c>
      <c r="I30" s="67">
        <v>33727</v>
      </c>
      <c r="J30" s="67">
        <v>46792</v>
      </c>
      <c r="K30" s="67">
        <v>40669</v>
      </c>
      <c r="L30" s="67">
        <v>37016</v>
      </c>
      <c r="M30" s="67">
        <v>45807</v>
      </c>
      <c r="N30" s="67">
        <v>40834</v>
      </c>
    </row>
    <row r="31" spans="2:14" x14ac:dyDescent="0.35">
      <c r="B31" s="8" t="s">
        <v>192</v>
      </c>
      <c r="C31" s="75">
        <v>9953</v>
      </c>
      <c r="D31" s="75">
        <v>6628</v>
      </c>
      <c r="E31" s="67">
        <v>2072</v>
      </c>
      <c r="F31" s="67">
        <v>1816</v>
      </c>
      <c r="G31" s="67">
        <v>4066</v>
      </c>
      <c r="H31" s="67">
        <v>3620</v>
      </c>
      <c r="I31" s="67">
        <v>3353</v>
      </c>
      <c r="J31" s="67">
        <v>4520</v>
      </c>
      <c r="K31" s="67">
        <v>4583</v>
      </c>
      <c r="L31" s="67">
        <v>-4029</v>
      </c>
      <c r="M31" s="67">
        <v>-1743</v>
      </c>
      <c r="N31" s="67">
        <v>7552</v>
      </c>
    </row>
    <row r="32" spans="2:14" x14ac:dyDescent="0.35">
      <c r="B32" s="8" t="s">
        <v>193</v>
      </c>
      <c r="C32" s="75">
        <v>27876</v>
      </c>
      <c r="D32" s="75">
        <v>24263</v>
      </c>
      <c r="E32" s="67">
        <v>27508</v>
      </c>
      <c r="F32" s="67">
        <v>35544</v>
      </c>
      <c r="G32" s="67">
        <v>44221</v>
      </c>
      <c r="H32" s="67">
        <v>52535</v>
      </c>
      <c r="I32" s="67">
        <v>55432</v>
      </c>
      <c r="J32" s="67">
        <v>57198</v>
      </c>
      <c r="K32" s="67">
        <v>57641</v>
      </c>
      <c r="L32" s="67">
        <v>72461</v>
      </c>
      <c r="M32" s="67">
        <v>80763</v>
      </c>
      <c r="N32" s="67">
        <v>50911</v>
      </c>
    </row>
    <row r="33" spans="2:14" x14ac:dyDescent="0.35">
      <c r="B33" s="58" t="s">
        <v>83</v>
      </c>
      <c r="C33" s="78">
        <v>218426</v>
      </c>
      <c r="D33" s="78">
        <v>237315</v>
      </c>
      <c r="E33" s="70">
        <v>263184</v>
      </c>
      <c r="F33" s="70">
        <v>272580</v>
      </c>
      <c r="G33" s="70">
        <v>327192</v>
      </c>
      <c r="H33" s="70">
        <v>305703</v>
      </c>
      <c r="I33" s="70">
        <v>320179</v>
      </c>
      <c r="J33" s="70">
        <v>341570</v>
      </c>
      <c r="K33" s="70">
        <v>329061</v>
      </c>
      <c r="L33" s="70">
        <v>334674</v>
      </c>
      <c r="M33" s="70">
        <v>369521</v>
      </c>
      <c r="N33" s="70">
        <v>376973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Financials -&gt;</vt:lpstr>
      <vt:lpstr>HistoricalFS</vt:lpstr>
      <vt:lpstr>Ratio analysis</vt:lpstr>
      <vt:lpstr>Forecasting</vt:lpstr>
      <vt:lpstr>Intrinsic growth</vt:lpstr>
      <vt:lpstr>FCFF</vt:lpstr>
      <vt:lpstr>Wacc</vt:lpstr>
      <vt:lpstr>DCF</vt:lpstr>
      <vt:lpstr>Data -&gt;</vt:lpstr>
      <vt:lpstr>Data Sheet</vt:lpstr>
      <vt:lpstr>Raw Cash Flow Data</vt:lpstr>
      <vt:lpstr>Raw BS Data</vt:lpstr>
      <vt:lpstr>UPDATE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 Anvekar</dc:creator>
  <cp:lastModifiedBy>Harsh Anvekar</cp:lastModifiedBy>
  <dcterms:created xsi:type="dcterms:W3CDTF">2025-05-25T05:33:31Z</dcterms:created>
  <dcterms:modified xsi:type="dcterms:W3CDTF">2025-06-20T15:45:01Z</dcterms:modified>
</cp:coreProperties>
</file>